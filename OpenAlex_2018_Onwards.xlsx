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tl Orgs (2018+)" sheetId="1" state="visible" r:id="rId1"/>
    <sheet name="Top 50 US SS (2018+)" sheetId="2" state="visible" r:id="rId2"/>
    <sheet name="OA Breakdown (2018+)" sheetId="3" state="visible" r:id="rId3"/>
    <sheet name="ICPSR Top Datasets (2018+)" sheetId="4" state="visible" r:id="rId4"/>
    <sheet name="Research Topics (2018+)" sheetId="5" state="visible" r:id="rId5"/>
    <sheet name="Globus MDF Datasets" sheetId="6" state="visible" r:id="rId6"/>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5">
    <font>
      <name val="Calibri"/>
      <family val="2"/>
      <color theme="1"/>
      <sz val="11"/>
      <scheme val="minor"/>
    </font>
    <font>
      <name val="Arial"/>
      <b val="1"/>
      <color rgb="00FFFFFF"/>
      <sz val="11"/>
    </font>
    <font>
      <name val="Arial"/>
      <b val="1"/>
      <sz val="10"/>
    </font>
    <font>
      <name val="Arial"/>
      <sz val="10"/>
    </font>
    <font>
      <name val="Arial"/>
      <color rgb="002563EB"/>
      <sz val="10"/>
      <u val="single"/>
    </font>
  </fonts>
  <fills count="9">
    <fill>
      <patternFill/>
    </fill>
    <fill>
      <patternFill patternType="gray125"/>
    </fill>
    <fill>
      <patternFill patternType="solid">
        <fgColor rgb="002563EB"/>
      </patternFill>
    </fill>
    <fill>
      <patternFill patternType="solid">
        <fgColor rgb="00F59E0B"/>
      </patternFill>
    </fill>
    <fill>
      <patternFill patternType="solid">
        <fgColor rgb="0022C55E"/>
      </patternFill>
    </fill>
    <fill>
      <patternFill patternType="solid">
        <fgColor rgb="008B5CF6"/>
      </patternFill>
    </fill>
    <fill>
      <patternFill patternType="solid">
        <fgColor rgb="00D97706"/>
      </patternFill>
    </fill>
    <fill>
      <patternFill patternType="solid">
        <fgColor rgb="0006B6D4"/>
      </patternFill>
    </fill>
    <fill>
      <patternFill patternType="solid">
        <fgColor rgb="009CA3AF"/>
      </patternFill>
    </fill>
  </fills>
  <borders count="2">
    <border>
      <left/>
      <right/>
      <top/>
      <bottom/>
      <diagonal/>
    </border>
    <border>
      <right style="thin">
        <color rgb="00D1D5DB"/>
      </right>
      <bottom style="thin">
        <color rgb="00D1D5DB"/>
      </bottom>
    </border>
  </borders>
  <cellStyleXfs count="1">
    <xf numFmtId="0" fontId="0" fillId="0" borderId="0"/>
  </cellStyleXfs>
  <cellXfs count="16">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center"/>
    </xf>
    <xf numFmtId="0" fontId="3" fillId="0" borderId="1" applyAlignment="1" pivotButton="0" quotePrefix="0" xfId="0">
      <alignment horizontal="center" vertical="center"/>
    </xf>
    <xf numFmtId="3" fontId="3" fillId="0" borderId="1" applyAlignment="1" pivotButton="0" quotePrefix="0" xfId="0">
      <alignment horizontal="center" vertical="center"/>
    </xf>
    <xf numFmtId="164" fontId="3" fillId="0" borderId="1" applyAlignment="1" pivotButton="0" quotePrefix="0" xfId="0">
      <alignment horizontal="center" vertical="center"/>
    </xf>
    <xf numFmtId="0" fontId="4" fillId="0" borderId="1" applyAlignment="1" pivotButton="0" quotePrefix="0" xfId="0">
      <alignment horizontal="center" vertical="center"/>
    </xf>
    <xf numFmtId="1" fontId="2" fillId="0" borderId="1" applyAlignment="1" pivotButton="0" quotePrefix="0" xfId="0">
      <alignment horizontal="left" vertical="center"/>
    </xf>
    <xf numFmtId="0" fontId="2" fillId="0" borderId="1" applyAlignment="1" pivotButton="0" quotePrefix="0" xfId="0">
      <alignment horizontal="center" vertical="center"/>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165" fontId="3"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pi.openalex.org/institutions/I1286959531?api_key=eN9RGcYK6NQuQJHOJ2XBDX" TargetMode="External" Id="rId1" /><Relationship Type="http://schemas.openxmlformats.org/officeDocument/2006/relationships/hyperlink" Target="https://api.openalex.org/institutions/I1334329717?api_key=eN9RGcYK6NQuQJHOJ2XBDX" TargetMode="External" Id="rId2" /><Relationship Type="http://schemas.openxmlformats.org/officeDocument/2006/relationships/hyperlink" Target="https://api.openalex.org/institutions/I1310145890?api_key=eN9RGcYK6NQuQJHOJ2XBDX" TargetMode="External" Id="rId3" /><Relationship Type="http://schemas.openxmlformats.org/officeDocument/2006/relationships/hyperlink" Target="https://api.openalex.org/institutions/I1320745970?api_key=eN9RGcYK6NQuQJHOJ2XBDX" TargetMode="External" Id="rId4" /><Relationship Type="http://schemas.openxmlformats.org/officeDocument/2006/relationships/hyperlink" Target="https://api.openalex.org/institutions/I1285985921?api_key=eN9RGcYK6NQuQJHOJ2XBDX" TargetMode="External" Id="rId5" /><Relationship Type="http://schemas.openxmlformats.org/officeDocument/2006/relationships/hyperlink" Target="https://api.openalex.org/institutions/I1303371618?api_key=eN9RGcYK6NQuQJHOJ2XBDX" TargetMode="External" Id="rId6" /><Relationship Type="http://schemas.openxmlformats.org/officeDocument/2006/relationships/hyperlink" Target="https://api.openalex.org/institutions/I1280232793?api_key=eN9RGcYK6NQuQJHOJ2XBDX" TargetMode="External" Id="rId7" /><Relationship Type="http://schemas.openxmlformats.org/officeDocument/2006/relationships/hyperlink" Target="https://api.openalex.org/institutions/I107145371?api_key=eN9RGcYK6NQuQJHOJ2XBDX" TargetMode="External" Id="rId8" /></Relationships>
</file>

<file path=xl/worksheets/_rels/sheet2.xml.rels><Relationships xmlns="http://schemas.openxmlformats.org/package/2006/relationships"><Relationship Type="http://schemas.openxmlformats.org/officeDocument/2006/relationships/hyperlink" Target="https://api.openalex.org/institutions/I136199984?api_key=eN9RGcYK6NQuQJHOJ2XBDX" TargetMode="External" Id="rId1" /><Relationship Type="http://schemas.openxmlformats.org/officeDocument/2006/relationships/hyperlink" Target="https://api.openalex.org/institutions/I27837315?api_key=eN9RGcYK6NQuQJHOJ2XBDX" TargetMode="External" Id="rId2" /><Relationship Type="http://schemas.openxmlformats.org/officeDocument/2006/relationships/hyperlink" Target="https://api.openalex.org/institutions/I145311948?api_key=eN9RGcYK6NQuQJHOJ2XBDX" TargetMode="External" Id="rId3" /><Relationship Type="http://schemas.openxmlformats.org/officeDocument/2006/relationships/hyperlink" Target="https://api.openalex.org/institutions/I201448701?api_key=eN9RGcYK6NQuQJHOJ2XBDX" TargetMode="External" Id="rId4" /><Relationship Type="http://schemas.openxmlformats.org/officeDocument/2006/relationships/hyperlink" Target="https://api.openalex.org/institutions/I114027177?api_key=eN9RGcYK6NQuQJHOJ2XBDX" TargetMode="External" Id="rId5" /><Relationship Type="http://schemas.openxmlformats.org/officeDocument/2006/relationships/hyperlink" Target="https://api.openalex.org/institutions/I97018004?api_key=eN9RGcYK6NQuQJHOJ2XBDX" TargetMode="External" Id="rId6" /><Relationship Type="http://schemas.openxmlformats.org/officeDocument/2006/relationships/hyperlink" Target="https://api.openalex.org/institutions/I130769515?api_key=eN9RGcYK6NQuQJHOJ2XBDX" TargetMode="External" Id="rId7" /><Relationship Type="http://schemas.openxmlformats.org/officeDocument/2006/relationships/hyperlink" Target="https://api.openalex.org/institutions/I79576946?api_key=eN9RGcYK6NQuQJHOJ2XBDX" TargetMode="External" Id="rId8" /><Relationship Type="http://schemas.openxmlformats.org/officeDocument/2006/relationships/hyperlink" Target="https://api.openalex.org/institutions/I78577930?api_key=eN9RGcYK6NQuQJHOJ2XBDX" TargetMode="External" Id="rId9" /><Relationship Type="http://schemas.openxmlformats.org/officeDocument/2006/relationships/hyperlink" Target="https://api.openalex.org/institutions/I32971472?api_key=eN9RGcYK6NQuQJHOJ2XBDX" TargetMode="External" Id="rId10" /><Relationship Type="http://schemas.openxmlformats.org/officeDocument/2006/relationships/hyperlink" Target="https://api.openalex.org/institutions/I57206974?api_key=eN9RGcYK6NQuQJHOJ2XBDX" TargetMode="External" Id="rId11" /><Relationship Type="http://schemas.openxmlformats.org/officeDocument/2006/relationships/hyperlink" Target="https://api.openalex.org/institutions/I55732556?api_key=eN9RGcYK6NQuQJHOJ2XBDX" TargetMode="External" Id="rId12" /><Relationship Type="http://schemas.openxmlformats.org/officeDocument/2006/relationships/hyperlink" Target="https://api.openalex.org/institutions/I180670191?api_key=eN9RGcYK6NQuQJHOJ2XBDX" TargetMode="External" Id="rId13" /><Relationship Type="http://schemas.openxmlformats.org/officeDocument/2006/relationships/hyperlink" Target="https://api.openalex.org/institutions/I205783295?api_key=eN9RGcYK6NQuQJHOJ2XBDX" TargetMode="External" Id="rId14" /><Relationship Type="http://schemas.openxmlformats.org/officeDocument/2006/relationships/hyperlink" Target="https://api.openalex.org/institutions/I33213144?api_key=eN9RGcYK6NQuQJHOJ2XBDX" TargetMode="External" Id="rId15" /><Relationship Type="http://schemas.openxmlformats.org/officeDocument/2006/relationships/hyperlink" Target="https://api.openalex.org/institutions/I52357470?api_key=eN9RGcYK6NQuQJHOJ2XBDX" TargetMode="External" Id="rId16" /><Relationship Type="http://schemas.openxmlformats.org/officeDocument/2006/relationships/hyperlink" Target="https://api.openalex.org/institutions/I130238516?api_key=eN9RGcYK6NQuQJHOJ2XBDX" TargetMode="External" Id="rId17" /><Relationship Type="http://schemas.openxmlformats.org/officeDocument/2006/relationships/hyperlink" Target="https://api.openalex.org/institutions/I87216513?api_key=eN9RGcYK6NQuQJHOJ2XBDX" TargetMode="External" Id="rId18" /><Relationship Type="http://schemas.openxmlformats.org/officeDocument/2006/relationships/hyperlink" Target="https://api.openalex.org/institutions/I135310074?api_key=eN9RGcYK6NQuQJHOJ2XBDX" TargetMode="External" Id="rId19" /><Relationship Type="http://schemas.openxmlformats.org/officeDocument/2006/relationships/hyperlink" Target="https://api.openalex.org/institutions/I161318765?api_key=eN9RGcYK6NQuQJHOJ2XBDX" TargetMode="External" Id="rId20" /><Relationship Type="http://schemas.openxmlformats.org/officeDocument/2006/relationships/hyperlink" Target="https://api.openalex.org/institutions/I170897317?api_key=eN9RGcYK6NQuQJHOJ2XBDX" TargetMode="External" Id="rId21" /><Relationship Type="http://schemas.openxmlformats.org/officeDocument/2006/relationships/hyperlink" Target="https://api.openalex.org/institutions/I86519309?api_key=eN9RGcYK6NQuQJHOJ2XBDX" TargetMode="External" Id="rId22" /><Relationship Type="http://schemas.openxmlformats.org/officeDocument/2006/relationships/hyperlink" Target="https://api.openalex.org/institutions/I1174212?api_key=eN9RGcYK6NQuQJHOJ2XBDX" TargetMode="External" Id="rId23" /><Relationship Type="http://schemas.openxmlformats.org/officeDocument/2006/relationships/hyperlink" Target="https://api.openalex.org/institutions/I157725225?api_key=eN9RGcYK6NQuQJHOJ2XBDX" TargetMode="External" Id="rId24" /><Relationship Type="http://schemas.openxmlformats.org/officeDocument/2006/relationships/hyperlink" Target="https://api.openalex.org/institutions/I95457486?api_key=eN9RGcYK6NQuQJHOJ2XBDX" TargetMode="External" Id="rId25" /><Relationship Type="http://schemas.openxmlformats.org/officeDocument/2006/relationships/hyperlink" Target="https://api.openalex.org/institutions/I150468666?api_key=eN9RGcYK6NQuQJHOJ2XBDX" TargetMode="External" Id="rId26" /><Relationship Type="http://schemas.openxmlformats.org/officeDocument/2006/relationships/hyperlink" Target="https://api.openalex.org/institutions/I219193219?api_key=eN9RGcYK6NQuQJHOJ2XBDX" TargetMode="External" Id="rId27" /><Relationship Type="http://schemas.openxmlformats.org/officeDocument/2006/relationships/hyperlink" Target="https://api.openalex.org/institutions/I111979921?api_key=eN9RGcYK6NQuQJHOJ2XBDX" TargetMode="External" Id="rId28" /><Relationship Type="http://schemas.openxmlformats.org/officeDocument/2006/relationships/hyperlink" Target="https://api.openalex.org/institutions/I102322142?api_key=eN9RGcYK6NQuQJHOJ2XBDX" TargetMode="External" Id="rId29" /><Relationship Type="http://schemas.openxmlformats.org/officeDocument/2006/relationships/hyperlink" Target="https://api.openalex.org/institutions/I111088046?api_key=eN9RGcYK6NQuQJHOJ2XBDX" TargetMode="External" Id="rId30" /><Relationship Type="http://schemas.openxmlformats.org/officeDocument/2006/relationships/hyperlink" Target="https://api.openalex.org/institutions/I170201317?api_key=eN9RGcYK6NQuQJHOJ2XBDX" TargetMode="External" Id="rId31" /><Relationship Type="http://schemas.openxmlformats.org/officeDocument/2006/relationships/hyperlink" Target="https://api.openalex.org/institutions/I185261750?api_key=eN9RGcYK6NQuQJHOJ2XBDX" TargetMode="External" Id="rId32" /><Relationship Type="http://schemas.openxmlformats.org/officeDocument/2006/relationships/hyperlink" Target="https://api.openalex.org/institutions/I36258959?api_key=eN9RGcYK6NQuQJHOJ2XBDX" TargetMode="External" Id="rId33" /><Relationship Type="http://schemas.openxmlformats.org/officeDocument/2006/relationships/hyperlink" Target="https://api.openalex.org/institutions/I40347166?api_key=eN9RGcYK6NQuQJHOJ2XBDX" TargetMode="External" Id="rId34" /><Relationship Type="http://schemas.openxmlformats.org/officeDocument/2006/relationships/hyperlink" Target="https://api.openalex.org/institutions/I223532165?api_key=eN9RGcYK6NQuQJHOJ2XBDX" TargetMode="External" Id="rId35" /><Relationship Type="http://schemas.openxmlformats.org/officeDocument/2006/relationships/hyperlink" Target="https://api.openalex.org/institutions/I39422238?api_key=eN9RGcYK6NQuQJHOJ2XBDX" TargetMode="External" Id="rId36" /><Relationship Type="http://schemas.openxmlformats.org/officeDocument/2006/relationships/hyperlink" Target="https://api.openalex.org/institutions/I66946132?api_key=eN9RGcYK6NQuQJHOJ2XBDX" TargetMode="External" Id="rId37" /><Relationship Type="http://schemas.openxmlformats.org/officeDocument/2006/relationships/hyperlink" Target="https://api.openalex.org/institutions/I204465549?api_key=eN9RGcYK6NQuQJHOJ2XBDX" TargetMode="External" Id="rId38" /><Relationship Type="http://schemas.openxmlformats.org/officeDocument/2006/relationships/hyperlink" Target="https://api.openalex.org/institutions/I138006243?api_key=eN9RGcYK6NQuQJHOJ2XBDX" TargetMode="External" Id="rId39" /><Relationship Type="http://schemas.openxmlformats.org/officeDocument/2006/relationships/hyperlink" Target="https://api.openalex.org/institutions/I4210087915?api_key=eN9RGcYK6NQuQJHOJ2XBDX" TargetMode="External" Id="rId40" /><Relationship Type="http://schemas.openxmlformats.org/officeDocument/2006/relationships/hyperlink" Target="https://api.openalex.org/institutions/I91045830?api_key=eN9RGcYK6NQuQJHOJ2XBDX" TargetMode="External" Id="rId41" /><Relationship Type="http://schemas.openxmlformats.org/officeDocument/2006/relationships/hyperlink" Target="https://api.openalex.org/institutions/I193531525?api_key=eN9RGcYK6NQuQJHOJ2XBDX" TargetMode="External" Id="rId42" /><Relationship Type="http://schemas.openxmlformats.org/officeDocument/2006/relationships/hyperlink" Target="https://api.openalex.org/institutions/I921990950?api_key=eN9RGcYK6NQuQJHOJ2XBDX" TargetMode="External" Id="rId43" /><Relationship Type="http://schemas.openxmlformats.org/officeDocument/2006/relationships/hyperlink" Target="https://api.openalex.org/institutions/I2613432?api_key=eN9RGcYK6NQuQJHOJ2XBDX" TargetMode="External" Id="rId44" /><Relationship Type="http://schemas.openxmlformats.org/officeDocument/2006/relationships/hyperlink" Target="https://api.openalex.org/institutions/I859038795?api_key=eN9RGcYK6NQuQJHOJ2XBDX" TargetMode="External" Id="rId45" /><Relationship Type="http://schemas.openxmlformats.org/officeDocument/2006/relationships/hyperlink" Target="https://api.openalex.org/institutions/I4210119109?api_key=eN9RGcYK6NQuQJHOJ2XBDX" TargetMode="External" Id="rId46" /><Relationship Type="http://schemas.openxmlformats.org/officeDocument/2006/relationships/hyperlink" Target="https://api.openalex.org/institutions/I55769427?api_key=eN9RGcYK6NQuQJHOJ2XBDX" TargetMode="External" Id="rId47" /><Relationship Type="http://schemas.openxmlformats.org/officeDocument/2006/relationships/hyperlink" Target="https://api.openalex.org/institutions/I51556381?api_key=eN9RGcYK6NQuQJHOJ2XBDX" TargetMode="External" Id="rId48" /><Relationship Type="http://schemas.openxmlformats.org/officeDocument/2006/relationships/hyperlink" Target="https://api.openalex.org/institutions/I27804330?api_key=eN9RGcYK6NQuQJHOJ2XBDX" TargetMode="External" Id="rId49" /><Relationship Type="http://schemas.openxmlformats.org/officeDocument/2006/relationships/hyperlink" Target="https://api.openalex.org/institutions/I165733156?api_key=eN9RGcYK6NQuQJHOJ2XBDX" TargetMode="External" Id="rId50" /></Relationships>
</file>

<file path=xl/worksheets/_rels/sheet4.xml.rels><Relationships xmlns="http://schemas.openxmlformats.org/package/2006/relationships"><Relationship Type="http://schemas.openxmlformats.org/officeDocument/2006/relationships/hyperlink" Target="https://openalex.org/W2919727463" TargetMode="External" Id="rId1" /><Relationship Type="http://schemas.openxmlformats.org/officeDocument/2006/relationships/hyperlink" Target="https://openalex.org/W3131522876" TargetMode="External" Id="rId2" /><Relationship Type="http://schemas.openxmlformats.org/officeDocument/2006/relationships/hyperlink" Target="https://openalex.org/W3013684960" TargetMode="External" Id="rId3" /><Relationship Type="http://schemas.openxmlformats.org/officeDocument/2006/relationships/hyperlink" Target="https://openalex.org/W3158017914" TargetMode="External" Id="rId4" /><Relationship Type="http://schemas.openxmlformats.org/officeDocument/2006/relationships/hyperlink" Target="https://openalex.org/W2968983452" TargetMode="External" Id="rId5" /><Relationship Type="http://schemas.openxmlformats.org/officeDocument/2006/relationships/hyperlink" Target="https://openalex.org/W2935517252" TargetMode="External" Id="rId6" /><Relationship Type="http://schemas.openxmlformats.org/officeDocument/2006/relationships/hyperlink" Target="https://openalex.org/W2915870313" TargetMode="External" Id="rId7" /><Relationship Type="http://schemas.openxmlformats.org/officeDocument/2006/relationships/hyperlink" Target="https://openalex.org/W3107810423" TargetMode="External" Id="rId8" /><Relationship Type="http://schemas.openxmlformats.org/officeDocument/2006/relationships/hyperlink" Target="https://openalex.org/W3096501452" TargetMode="External" Id="rId9" /><Relationship Type="http://schemas.openxmlformats.org/officeDocument/2006/relationships/hyperlink" Target="https://openalex.org/W3014499011" TargetMode="External" Id="rId10" /><Relationship Type="http://schemas.openxmlformats.org/officeDocument/2006/relationships/hyperlink" Target="https://openalex.org/W2912002784" TargetMode="External" Id="rId11" /><Relationship Type="http://schemas.openxmlformats.org/officeDocument/2006/relationships/hyperlink" Target="https://openalex.org/W3117143701" TargetMode="External" Id="rId12" /><Relationship Type="http://schemas.openxmlformats.org/officeDocument/2006/relationships/hyperlink" Target="https://openalex.org/W3016041792" TargetMode="External" Id="rId13" /><Relationship Type="http://schemas.openxmlformats.org/officeDocument/2006/relationships/hyperlink" Target="https://openalex.org/W2993993680" TargetMode="External" Id="rId14" /><Relationship Type="http://schemas.openxmlformats.org/officeDocument/2006/relationships/hyperlink" Target="https://openalex.org/W3153491998" TargetMode="External" Id="rId15" /></Relationships>
</file>

<file path=xl/worksheets/sheet1.xml><?xml version="1.0" encoding="utf-8"?>
<worksheet xmlns="http://schemas.openxmlformats.org/spreadsheetml/2006/main">
  <sheetPr>
    <outlinePr summaryBelow="1" summaryRight="1"/>
    <pageSetUpPr/>
  </sheetPr>
  <dimension ref="A1:H9"/>
  <sheetViews>
    <sheetView workbookViewId="0">
      <pane ySplit="1" topLeftCell="A2" activePane="bottomLeft" state="frozen"/>
      <selection pane="bottomLeft" activeCell="A1" sqref="A1"/>
    </sheetView>
  </sheetViews>
  <sheetFormatPr baseColWidth="8" defaultRowHeight="15"/>
  <cols>
    <col width="38" customWidth="1" min="1" max="1"/>
    <col width="10" customWidth="1" min="2" max="2"/>
    <col width="12" customWidth="1" min="3" max="3"/>
    <col width="13" customWidth="1" min="4" max="4"/>
    <col width="17" customWidth="1" min="5" max="5"/>
    <col width="10" customWidth="1" min="6" max="6"/>
    <col width="10" customWidth="1" min="7" max="7"/>
    <col width="38" customWidth="1" min="8" max="8"/>
  </cols>
  <sheetData>
    <row r="1">
      <c r="A1" s="1" t="inlineStr">
        <is>
          <t>Organization</t>
        </is>
      </c>
      <c r="B1" s="1" t="inlineStr">
        <is>
          <t>Country</t>
        </is>
      </c>
      <c r="C1" s="1" t="inlineStr">
        <is>
          <t>Type</t>
        </is>
      </c>
      <c r="D1" s="1" t="inlineStr">
        <is>
          <t>Works 2018+</t>
        </is>
      </c>
      <c r="E1" s="1" t="inlineStr">
        <is>
          <t>Citations 2018+</t>
        </is>
      </c>
      <c r="F1" s="1" t="inlineStr">
        <is>
          <t>Cit/Work</t>
        </is>
      </c>
      <c r="G1" s="1" t="inlineStr">
        <is>
          <t>h-index</t>
        </is>
      </c>
      <c r="H1" s="1" t="inlineStr">
        <is>
          <t>OpenAlex Link</t>
        </is>
      </c>
    </row>
    <row r="2">
      <c r="A2" s="2" t="inlineStr">
        <is>
          <t>United Nations</t>
        </is>
      </c>
      <c r="B2" s="3" t="inlineStr">
        <is>
          <t>US</t>
        </is>
      </c>
      <c r="C2" s="3" t="inlineStr">
        <is>
          <t>government</t>
        </is>
      </c>
      <c r="D2" s="4" t="n">
        <v>2435</v>
      </c>
      <c r="E2" s="4" t="n">
        <v>19374</v>
      </c>
      <c r="F2" s="5">
        <f>E2/D2</f>
        <v/>
      </c>
      <c r="G2" s="4" t="n">
        <v>186</v>
      </c>
      <c r="H2" s="6" t="inlineStr">
        <is>
          <t>https://api.openalex.org/institutions/I1286959531?api_key=eN9RGcYK6NQuQJHOJ2XBDX</t>
        </is>
      </c>
    </row>
    <row r="3">
      <c r="A3" s="2" t="inlineStr">
        <is>
          <t>World Bank</t>
        </is>
      </c>
      <c r="B3" s="3" t="inlineStr">
        <is>
          <t>US</t>
        </is>
      </c>
      <c r="C3" s="3" t="inlineStr">
        <is>
          <t>other</t>
        </is>
      </c>
      <c r="D3" s="4" t="n">
        <v>5027</v>
      </c>
      <c r="E3" s="4" t="n">
        <v>103025</v>
      </c>
      <c r="F3" s="5">
        <f>E3/D3</f>
        <v/>
      </c>
      <c r="G3" s="4" t="n">
        <v>467</v>
      </c>
      <c r="H3" s="6" t="inlineStr">
        <is>
          <t>https://api.openalex.org/institutions/I1334329717?api_key=eN9RGcYK6NQuQJHOJ2XBDX</t>
        </is>
      </c>
    </row>
    <row r="4">
      <c r="A4" s="2" t="inlineStr">
        <is>
          <t>International Monetary Fund</t>
        </is>
      </c>
      <c r="B4" s="3" t="inlineStr">
        <is>
          <t>US</t>
        </is>
      </c>
      <c r="C4" s="3" t="inlineStr">
        <is>
          <t>other</t>
        </is>
      </c>
      <c r="D4" s="4" t="n">
        <v>5419</v>
      </c>
      <c r="E4" s="4" t="n">
        <v>56559</v>
      </c>
      <c r="F4" s="5">
        <f>E4/D4</f>
        <v/>
      </c>
      <c r="G4" s="4" t="n">
        <v>342</v>
      </c>
      <c r="H4" s="6" t="inlineStr">
        <is>
          <t>https://api.openalex.org/institutions/I1310145890?api_key=eN9RGcYK6NQuQJHOJ2XBDX</t>
        </is>
      </c>
    </row>
    <row r="5">
      <c r="A5" s="2" t="inlineStr">
        <is>
          <t>Food and Agriculture Organization of the United Nations</t>
        </is>
      </c>
      <c r="B5" s="3" t="inlineStr">
        <is>
          <t>IT</t>
        </is>
      </c>
      <c r="C5" s="3" t="inlineStr">
        <is>
          <t>government</t>
        </is>
      </c>
      <c r="D5" s="4" t="n">
        <v>3803</v>
      </c>
      <c r="E5" s="4" t="n">
        <v>102273</v>
      </c>
      <c r="F5" s="5">
        <f>E5/D5</f>
        <v/>
      </c>
      <c r="G5" s="4" t="n">
        <v>333</v>
      </c>
      <c r="H5" s="6" t="inlineStr">
        <is>
          <t>https://api.openalex.org/institutions/I1320745970?api_key=eN9RGcYK6NQuQJHOJ2XBDX</t>
        </is>
      </c>
    </row>
    <row r="6">
      <c r="A6" s="2" t="inlineStr">
        <is>
          <t>International Labour Organization</t>
        </is>
      </c>
      <c r="B6" s="3" t="inlineStr">
        <is>
          <t>CH</t>
        </is>
      </c>
      <c r="C6" s="3" t="inlineStr">
        <is>
          <t>government</t>
        </is>
      </c>
      <c r="D6" s="4" t="n">
        <v>1597</v>
      </c>
      <c r="E6" s="4" t="n">
        <v>9708</v>
      </c>
      <c r="F6" s="5">
        <f>E6/D6</f>
        <v/>
      </c>
      <c r="G6" s="4" t="n">
        <v>103</v>
      </c>
      <c r="H6" s="6" t="inlineStr">
        <is>
          <t>https://api.openalex.org/institutions/I1285985921?api_key=eN9RGcYK6NQuQJHOJ2XBDX</t>
        </is>
      </c>
    </row>
    <row r="7">
      <c r="A7" s="2" t="inlineStr">
        <is>
          <t>International Telecommunication Union</t>
        </is>
      </c>
      <c r="B7" s="3" t="inlineStr">
        <is>
          <t>CH</t>
        </is>
      </c>
      <c r="C7" s="3" t="inlineStr">
        <is>
          <t>other</t>
        </is>
      </c>
      <c r="D7" s="4" t="n">
        <v>139</v>
      </c>
      <c r="E7" s="4" t="n">
        <v>1964</v>
      </c>
      <c r="F7" s="5">
        <f>E7/D7</f>
        <v/>
      </c>
      <c r="G7" s="4" t="n">
        <v>34</v>
      </c>
      <c r="H7" s="6" t="inlineStr">
        <is>
          <t>https://api.openalex.org/institutions/I1303371618?api_key=eN9RGcYK6NQuQJHOJ2XBDX</t>
        </is>
      </c>
    </row>
    <row r="8">
      <c r="A8" s="2" t="inlineStr">
        <is>
          <t>World Intellectual Property Organization</t>
        </is>
      </c>
      <c r="B8" s="3" t="inlineStr">
        <is>
          <t>CH</t>
        </is>
      </c>
      <c r="C8" s="3" t="inlineStr">
        <is>
          <t>government</t>
        </is>
      </c>
      <c r="D8" s="4" t="n">
        <v>278</v>
      </c>
      <c r="E8" s="4" t="n">
        <v>1306</v>
      </c>
      <c r="F8" s="5">
        <f>E8/D8</f>
        <v/>
      </c>
      <c r="G8" s="4" t="n">
        <v>41</v>
      </c>
      <c r="H8" s="6" t="inlineStr">
        <is>
          <t>https://api.openalex.org/institutions/I1280232793?api_key=eN9RGcYK6NQuQJHOJ2XBDX</t>
        </is>
      </c>
    </row>
    <row r="9">
      <c r="A9" s="2" t="inlineStr">
        <is>
          <t>United Nations Development Programme</t>
        </is>
      </c>
      <c r="B9" s="3" t="inlineStr">
        <is>
          <t>US</t>
        </is>
      </c>
      <c r="C9" s="3" t="inlineStr">
        <is>
          <t>other</t>
        </is>
      </c>
      <c r="D9" s="4" t="n">
        <v>740</v>
      </c>
      <c r="E9" s="4" t="n">
        <v>9441</v>
      </c>
      <c r="F9" s="5">
        <f>E9/D9</f>
        <v/>
      </c>
      <c r="G9" s="4" t="n">
        <v>113</v>
      </c>
      <c r="H9" s="6" t="inlineStr">
        <is>
          <t>https://api.openalex.org/institutions/I107145371?api_key=eN9RGcYK6NQuQJHOJ2XBDX</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38" customWidth="1" min="2" max="2"/>
    <col width="16" customWidth="1" min="3" max="3"/>
    <col width="19" customWidth="1" min="4" max="4"/>
    <col width="17" customWidth="1" min="5" max="5"/>
    <col width="10" customWidth="1" min="6" max="6"/>
    <col width="10" customWidth="1" min="7" max="7"/>
    <col width="16" customWidth="1" min="8" max="8"/>
    <col width="17" customWidth="1" min="9" max="9"/>
    <col width="38" customWidth="1" min="10" max="10"/>
  </cols>
  <sheetData>
    <row r="1">
      <c r="A1" s="1" t="inlineStr">
        <is>
          <t>Rank</t>
        </is>
      </c>
      <c r="B1" s="1" t="inlineStr">
        <is>
          <t>Institution</t>
        </is>
      </c>
      <c r="C1" s="1" t="inlineStr">
        <is>
          <t>SS Works 2018+</t>
        </is>
      </c>
      <c r="D1" s="1" t="inlineStr">
        <is>
          <t>Total Works 2018+</t>
        </is>
      </c>
      <c r="E1" s="1" t="inlineStr">
        <is>
          <t>Citations 2018+</t>
        </is>
      </c>
      <c r="F1" s="1" t="inlineStr">
        <is>
          <t>Cit/Work</t>
        </is>
      </c>
      <c r="G1" s="1" t="inlineStr">
        <is>
          <t>h-index</t>
        </is>
      </c>
      <c r="H1" s="1" t="inlineStr">
        <is>
          <t>ICPSR Deposits</t>
        </is>
      </c>
      <c r="I1" s="1" t="inlineStr">
        <is>
          <t>ICPSR Citations</t>
        </is>
      </c>
      <c r="J1" s="1" t="inlineStr">
        <is>
          <t>OpenAlex Link</t>
        </is>
      </c>
    </row>
    <row r="2">
      <c r="A2" s="7" t="n">
        <v>1</v>
      </c>
      <c r="B2" s="8" t="inlineStr">
        <is>
          <t>Harvard University</t>
        </is>
      </c>
      <c r="C2" s="4" t="n">
        <v>4911</v>
      </c>
      <c r="D2" s="4" t="n">
        <v>267185</v>
      </c>
      <c r="E2" s="4" t="n">
        <v>7668441</v>
      </c>
      <c r="F2" s="5">
        <f>E2/D2</f>
        <v/>
      </c>
      <c r="G2" s="4" t="n">
        <v>2755</v>
      </c>
      <c r="H2" s="4" t="n">
        <v>15</v>
      </c>
      <c r="I2" s="4" t="n">
        <v>85</v>
      </c>
      <c r="J2" s="6" t="inlineStr">
        <is>
          <t>https://api.openalex.org/institutions/I136199984?api_key=eN9RGcYK6NQuQJHOJ2XBDX</t>
        </is>
      </c>
    </row>
    <row r="3">
      <c r="A3" s="7" t="n">
        <v>2</v>
      </c>
      <c r="B3" s="8" t="inlineStr">
        <is>
          <t>University of Michigan</t>
        </is>
      </c>
      <c r="C3" s="4" t="n">
        <v>4372</v>
      </c>
      <c r="D3" s="4" t="n">
        <v>627209</v>
      </c>
      <c r="E3" s="4" t="n">
        <v>3439278</v>
      </c>
      <c r="F3" s="5">
        <f>E3/D3</f>
        <v/>
      </c>
      <c r="G3" s="4" t="n">
        <v>2058</v>
      </c>
      <c r="H3" s="4" t="n">
        <v>108</v>
      </c>
      <c r="I3" s="4" t="n">
        <v>216</v>
      </c>
      <c r="J3" s="6" t="inlineStr">
        <is>
          <t>https://api.openalex.org/institutions/I27837315?api_key=eN9RGcYK6NQuQJHOJ2XBDX</t>
        </is>
      </c>
    </row>
    <row r="4">
      <c r="A4" s="7" t="n">
        <v>3</v>
      </c>
      <c r="B4" s="8" t="inlineStr">
        <is>
          <t>Johns Hopkins University</t>
        </is>
      </c>
      <c r="C4" s="4" t="n">
        <v>4137</v>
      </c>
      <c r="D4" s="4" t="n">
        <v>198961</v>
      </c>
      <c r="E4" s="4" t="n">
        <v>3941804</v>
      </c>
      <c r="F4" s="5">
        <f>E4/D4</f>
        <v/>
      </c>
      <c r="G4" s="4" t="n">
        <v>2111</v>
      </c>
      <c r="H4" s="4" t="n">
        <v>36</v>
      </c>
      <c r="I4" s="4" t="n">
        <v>57</v>
      </c>
      <c r="J4" s="6" t="inlineStr">
        <is>
          <t>https://api.openalex.org/institutions/I145311948?api_key=eN9RGcYK6NQuQJHOJ2XBDX</t>
        </is>
      </c>
    </row>
    <row r="5">
      <c r="A5" s="7" t="n">
        <v>4</v>
      </c>
      <c r="B5" s="8" t="inlineStr">
        <is>
          <t>University of Washington</t>
        </is>
      </c>
      <c r="C5" s="4" t="n">
        <v>4075</v>
      </c>
      <c r="D5" s="4" t="n">
        <v>218631</v>
      </c>
      <c r="E5" s="4" t="n">
        <v>3674404</v>
      </c>
      <c r="F5" s="5">
        <f>E5/D5</f>
        <v/>
      </c>
      <c r="G5" s="4" t="n">
        <v>3513</v>
      </c>
      <c r="H5" s="4" t="n">
        <v>14</v>
      </c>
      <c r="I5" s="4" t="n">
        <v>38</v>
      </c>
      <c r="J5" s="6" t="inlineStr">
        <is>
          <t>https://api.openalex.org/institutions/I201448701?api_key=eN9RGcYK6NQuQJHOJ2XBDX</t>
        </is>
      </c>
    </row>
    <row r="6">
      <c r="A6" s="7" t="n">
        <v>5</v>
      </c>
      <c r="B6" s="8" t="inlineStr">
        <is>
          <t>University of North Carolina at Chapel Hill</t>
        </is>
      </c>
      <c r="C6" s="4" t="n">
        <v>3617</v>
      </c>
      <c r="D6" s="4" t="n">
        <v>179886</v>
      </c>
      <c r="E6" s="4" t="n">
        <v>2144041</v>
      </c>
      <c r="F6" s="5">
        <f>E6/D6</f>
        <v/>
      </c>
      <c r="G6" s="4" t="n">
        <v>1562</v>
      </c>
      <c r="H6" s="4" t="n">
        <v>12</v>
      </c>
      <c r="I6" s="4" t="n">
        <v>76</v>
      </c>
      <c r="J6" s="6" t="inlineStr">
        <is>
          <t>https://api.openalex.org/institutions/I114027177?api_key=eN9RGcYK6NQuQJHOJ2XBDX</t>
        </is>
      </c>
    </row>
    <row r="7">
      <c r="A7" s="7" t="n">
        <v>6</v>
      </c>
      <c r="B7" s="8" t="inlineStr">
        <is>
          <t>Stanford University</t>
        </is>
      </c>
      <c r="C7" s="4" t="n">
        <v>3227</v>
      </c>
      <c r="D7" s="4" t="n">
        <v>200717</v>
      </c>
      <c r="E7" s="4" t="n">
        <v>4617111</v>
      </c>
      <c r="F7" s="5">
        <f>E7/D7</f>
        <v/>
      </c>
      <c r="G7" s="4" t="n">
        <v>2439</v>
      </c>
      <c r="H7" s="4" t="n">
        <v>57</v>
      </c>
      <c r="I7" s="4" t="n">
        <v>53</v>
      </c>
      <c r="J7" s="6" t="inlineStr">
        <is>
          <t>https://api.openalex.org/institutions/I97018004?api_key=eN9RGcYK6NQuQJHOJ2XBDX</t>
        </is>
      </c>
    </row>
    <row r="8">
      <c r="A8" s="7" t="n">
        <v>7</v>
      </c>
      <c r="B8" s="8" t="inlineStr">
        <is>
          <t>Pennsylvania State University</t>
        </is>
      </c>
      <c r="C8" s="4" t="n">
        <v>2969</v>
      </c>
      <c r="D8" s="4" t="n">
        <v>106256</v>
      </c>
      <c r="E8" s="4" t="n">
        <v>1665437</v>
      </c>
      <c r="F8" s="5">
        <f>E8/D8</f>
        <v/>
      </c>
      <c r="G8" s="4" t="n">
        <v>1232</v>
      </c>
      <c r="H8" s="4" t="n">
        <v>17</v>
      </c>
      <c r="I8" s="4" t="n">
        <v>104</v>
      </c>
      <c r="J8" s="6" t="inlineStr">
        <is>
          <t>https://api.openalex.org/institutions/I130769515?api_key=eN9RGcYK6NQuQJHOJ2XBDX</t>
        </is>
      </c>
    </row>
    <row r="9">
      <c r="A9" s="7" t="n">
        <v>8</v>
      </c>
      <c r="B9" s="8" t="inlineStr">
        <is>
          <t>University of Pennsylvania</t>
        </is>
      </c>
      <c r="C9" s="4" t="n">
        <v>2895</v>
      </c>
      <c r="D9" s="4" t="n">
        <v>132856</v>
      </c>
      <c r="E9" s="4" t="n">
        <v>3075947</v>
      </c>
      <c r="F9" s="5">
        <f>E9/D9</f>
        <v/>
      </c>
      <c r="G9" s="4" t="n">
        <v>1699</v>
      </c>
      <c r="H9" s="4" t="n">
        <v>9</v>
      </c>
      <c r="I9" s="4" t="n">
        <v>49</v>
      </c>
      <c r="J9" s="6" t="inlineStr">
        <is>
          <t>https://api.openalex.org/institutions/I79576946?api_key=eN9RGcYK6NQuQJHOJ2XBDX</t>
        </is>
      </c>
    </row>
    <row r="10">
      <c r="A10" s="7" t="n">
        <v>9</v>
      </c>
      <c r="B10" s="8" t="inlineStr">
        <is>
          <t>Columbia University</t>
        </is>
      </c>
      <c r="C10" s="4" t="n">
        <v>2843</v>
      </c>
      <c r="D10" s="4" t="n">
        <v>130392</v>
      </c>
      <c r="E10" s="4" t="n">
        <v>2598895</v>
      </c>
      <c r="F10" s="5">
        <f>E10/D10</f>
        <v/>
      </c>
      <c r="G10" s="4" t="n">
        <v>1684</v>
      </c>
      <c r="H10" s="4" t="n">
        <v>30</v>
      </c>
      <c r="I10" s="4" t="n">
        <v>71</v>
      </c>
      <c r="J10" s="6" t="inlineStr">
        <is>
          <t>https://api.openalex.org/institutions/I78577930?api_key=eN9RGcYK6NQuQJHOJ2XBDX</t>
        </is>
      </c>
    </row>
    <row r="11">
      <c r="A11" s="7" t="n">
        <v>10</v>
      </c>
      <c r="B11" s="8" t="inlineStr">
        <is>
          <t>Yale University</t>
        </is>
      </c>
      <c r="C11" s="4" t="n">
        <v>2831</v>
      </c>
      <c r="D11" s="4" t="n">
        <v>163621</v>
      </c>
      <c r="E11" s="4" t="n">
        <v>2673254</v>
      </c>
      <c r="F11" s="5">
        <f>E11/D11</f>
        <v/>
      </c>
      <c r="G11" s="4" t="n">
        <v>1733</v>
      </c>
      <c r="H11" s="4" t="n">
        <v>40</v>
      </c>
      <c r="I11" s="4" t="n">
        <v>39</v>
      </c>
      <c r="J11" s="6" t="inlineStr">
        <is>
          <t>https://api.openalex.org/institutions/I32971472?api_key=eN9RGcYK6NQuQJHOJ2XBDX</t>
        </is>
      </c>
    </row>
    <row r="12">
      <c r="A12" s="7" t="n">
        <v>11</v>
      </c>
      <c r="B12" s="8" t="inlineStr">
        <is>
          <t>New York University</t>
        </is>
      </c>
      <c r="C12" s="4" t="n">
        <v>2732</v>
      </c>
      <c r="D12" s="4" t="n">
        <v>105914</v>
      </c>
      <c r="E12" s="4" t="n">
        <v>1768280</v>
      </c>
      <c r="F12" s="5">
        <f>E12/D12</f>
        <v/>
      </c>
      <c r="G12" s="4" t="n">
        <v>1345</v>
      </c>
      <c r="H12" s="4" t="n">
        <v>29</v>
      </c>
      <c r="I12" s="4" t="n">
        <v>51</v>
      </c>
      <c r="J12" s="6" t="inlineStr">
        <is>
          <t>https://api.openalex.org/institutions/I57206974?api_key=eN9RGcYK6NQuQJHOJ2XBDX</t>
        </is>
      </c>
    </row>
    <row r="13">
      <c r="A13" s="7" t="n">
        <v>12</v>
      </c>
      <c r="B13" s="8" t="inlineStr">
        <is>
          <t>Arizona State University</t>
        </is>
      </c>
      <c r="C13" s="4" t="n">
        <v>2707</v>
      </c>
      <c r="D13" s="4" t="n">
        <v>78467</v>
      </c>
      <c r="E13" s="4" t="n">
        <v>1123146</v>
      </c>
      <c r="F13" s="5">
        <f>E13/D13</f>
        <v/>
      </c>
      <c r="G13" s="4" t="n">
        <v>950</v>
      </c>
      <c r="H13" s="4" t="n">
        <v>20</v>
      </c>
      <c r="I13" s="4" t="n">
        <v>34</v>
      </c>
      <c r="J13" s="6" t="inlineStr">
        <is>
          <t>https://api.openalex.org/institutions/I55732556?api_key=eN9RGcYK6NQuQJHOJ2XBDX</t>
        </is>
      </c>
    </row>
    <row r="14">
      <c r="A14" s="7" t="n">
        <v>13</v>
      </c>
      <c r="B14" s="8" t="inlineStr">
        <is>
          <t>University of California, San Francisco</t>
        </is>
      </c>
      <c r="C14" s="4" t="n">
        <v>2686</v>
      </c>
      <c r="D14" s="4" t="n">
        <v>118138</v>
      </c>
      <c r="E14" s="4" t="n">
        <v>2645595</v>
      </c>
      <c r="F14" s="5">
        <f>E14/D14</f>
        <v/>
      </c>
      <c r="G14" s="4" t="n">
        <v>1649</v>
      </c>
      <c r="H14" s="4" t="n">
        <v>21</v>
      </c>
      <c r="I14" s="4" t="n">
        <v>28</v>
      </c>
      <c r="J14" s="6" t="inlineStr">
        <is>
          <t>https://api.openalex.org/institutions/I180670191?api_key=eN9RGcYK6NQuQJHOJ2XBDX</t>
        </is>
      </c>
    </row>
    <row r="15">
      <c r="A15" s="7" t="n">
        <v>14</v>
      </c>
      <c r="B15" s="8" t="inlineStr">
        <is>
          <t>Cornell University</t>
        </is>
      </c>
      <c r="C15" s="4" t="n">
        <v>2647</v>
      </c>
      <c r="D15" s="4" t="n">
        <v>167104</v>
      </c>
      <c r="E15" s="4" t="n">
        <v>3146606</v>
      </c>
      <c r="F15" s="5">
        <f>E15/D15</f>
        <v/>
      </c>
      <c r="G15" s="4" t="n">
        <v>1763</v>
      </c>
      <c r="H15" s="4" t="n">
        <v>33</v>
      </c>
      <c r="I15" s="4" t="n">
        <v>38</v>
      </c>
      <c r="J15" s="6" t="inlineStr">
        <is>
          <t>https://api.openalex.org/institutions/I205783295?api_key=eN9RGcYK6NQuQJHOJ2XBDX</t>
        </is>
      </c>
    </row>
    <row r="16">
      <c r="A16" s="7" t="n">
        <v>15</v>
      </c>
      <c r="B16" s="8" t="inlineStr">
        <is>
          <t>University of Florida</t>
        </is>
      </c>
      <c r="C16" s="4" t="n">
        <v>2494</v>
      </c>
      <c r="D16" s="4" t="n">
        <v>134300</v>
      </c>
      <c r="E16" s="4" t="n">
        <v>1875308</v>
      </c>
      <c r="F16" s="5">
        <f>E16/D16</f>
        <v/>
      </c>
      <c r="G16" s="4" t="n">
        <v>1206</v>
      </c>
      <c r="H16" s="4" t="n">
        <v>0</v>
      </c>
      <c r="I16" s="4" t="n">
        <v>17</v>
      </c>
      <c r="J16" s="6" t="inlineStr">
        <is>
          <t>https://api.openalex.org/institutions/I33213144?api_key=eN9RGcYK6NQuQJHOJ2XBDX</t>
        </is>
      </c>
    </row>
    <row r="17">
      <c r="A17" s="7" t="n">
        <v>16</v>
      </c>
      <c r="B17" s="8" t="inlineStr">
        <is>
          <t>The Ohio State University</t>
        </is>
      </c>
      <c r="C17" s="4" t="n">
        <v>2441</v>
      </c>
      <c r="D17" s="4" t="n">
        <v>113523</v>
      </c>
      <c r="E17" s="4" t="n">
        <v>1803609</v>
      </c>
      <c r="F17" s="5">
        <f>E17/D17</f>
        <v/>
      </c>
      <c r="G17" s="4" t="n">
        <v>1139</v>
      </c>
      <c r="H17" s="4" t="n">
        <v>20</v>
      </c>
      <c r="I17" s="4" t="n">
        <v>44</v>
      </c>
      <c r="J17" s="6" t="inlineStr">
        <is>
          <t>https://api.openalex.org/institutions/I52357470?api_key=eN9RGcYK6NQuQJHOJ2XBDX</t>
        </is>
      </c>
    </row>
    <row r="18">
      <c r="A18" s="7" t="n">
        <v>17</v>
      </c>
      <c r="B18" s="8" t="inlineStr">
        <is>
          <t>University of Minnesota</t>
        </is>
      </c>
      <c r="C18" s="4" t="n">
        <v>2432</v>
      </c>
      <c r="D18" s="4" t="n">
        <v>96584</v>
      </c>
      <c r="E18" s="4" t="n">
        <v>1956866</v>
      </c>
      <c r="F18" s="5">
        <f>E18/D18</f>
        <v/>
      </c>
      <c r="G18" s="4" t="n">
        <v>1365</v>
      </c>
      <c r="H18" s="4" t="n">
        <v>11</v>
      </c>
      <c r="I18" s="4" t="n">
        <v>49</v>
      </c>
      <c r="J18" s="6" t="inlineStr">
        <is>
          <t>https://api.openalex.org/institutions/I130238516?api_key=eN9RGcYK6NQuQJHOJ2XBDX</t>
        </is>
      </c>
    </row>
    <row r="19">
      <c r="A19" s="7" t="n">
        <v>18</v>
      </c>
      <c r="B19" s="8" t="inlineStr">
        <is>
          <t>Michigan State University</t>
        </is>
      </c>
      <c r="C19" s="4" t="n">
        <v>2405</v>
      </c>
      <c r="D19" s="4" t="n">
        <v>91246</v>
      </c>
      <c r="E19" s="4" t="n">
        <v>1261542</v>
      </c>
      <c r="F19" s="5">
        <f>E19/D19</f>
        <v/>
      </c>
      <c r="G19" s="4" t="n">
        <v>1043</v>
      </c>
      <c r="H19" s="4" t="n">
        <v>10</v>
      </c>
      <c r="I19" s="4" t="n">
        <v>38</v>
      </c>
      <c r="J19" s="6" t="inlineStr">
        <is>
          <t>https://api.openalex.org/institutions/I87216513?api_key=eN9RGcYK6NQuQJHOJ2XBDX</t>
        </is>
      </c>
    </row>
    <row r="20">
      <c r="A20" s="7" t="n">
        <v>19</v>
      </c>
      <c r="B20" s="8" t="inlineStr">
        <is>
          <t>University of Wisconsin–Madison</t>
        </is>
      </c>
      <c r="C20" s="4" t="n">
        <v>2395</v>
      </c>
      <c r="D20" s="4" t="n">
        <v>115150</v>
      </c>
      <c r="E20" s="4" t="n">
        <v>1848534</v>
      </c>
      <c r="F20" s="5">
        <f>E20/D20</f>
        <v/>
      </c>
      <c r="G20" s="4" t="n">
        <v>1383</v>
      </c>
      <c r="H20" s="4" t="n">
        <v>27</v>
      </c>
      <c r="I20" s="4" t="n">
        <v>54</v>
      </c>
      <c r="J20" s="6" t="inlineStr">
        <is>
          <t>https://api.openalex.org/institutions/I135310074?api_key=eN9RGcYK6NQuQJHOJ2XBDX</t>
        </is>
      </c>
    </row>
    <row r="21">
      <c r="A21" s="7" t="n">
        <v>20</v>
      </c>
      <c r="B21" s="8" t="inlineStr">
        <is>
          <t>University of California, Los Angeles</t>
        </is>
      </c>
      <c r="C21" s="4" t="n">
        <v>2225</v>
      </c>
      <c r="D21" s="4" t="n">
        <v>147232</v>
      </c>
      <c r="E21" s="4" t="n">
        <v>2755074</v>
      </c>
      <c r="F21" s="5">
        <f>E21/D21</f>
        <v/>
      </c>
      <c r="G21" s="4" t="n">
        <v>1606</v>
      </c>
      <c r="H21" s="4" t="n">
        <v>27</v>
      </c>
      <c r="I21" s="4" t="n">
        <v>68</v>
      </c>
      <c r="J21" s="6" t="inlineStr">
        <is>
          <t>https://api.openalex.org/institutions/I161318765?api_key=eN9RGcYK6NQuQJHOJ2XBDX</t>
        </is>
      </c>
    </row>
    <row r="22">
      <c r="A22" s="7" t="n">
        <v>21</v>
      </c>
      <c r="B22" s="8" t="inlineStr">
        <is>
          <t>Duke University</t>
        </is>
      </c>
      <c r="C22" s="4" t="n">
        <v>2159</v>
      </c>
      <c r="D22" s="4" t="n">
        <v>110067</v>
      </c>
      <c r="E22" s="4" t="n">
        <v>1940513</v>
      </c>
      <c r="F22" s="5">
        <f>E22/D22</f>
        <v/>
      </c>
      <c r="G22" s="4" t="n">
        <v>1353</v>
      </c>
      <c r="H22" s="4" t="n">
        <v>18</v>
      </c>
      <c r="I22" s="4" t="n">
        <v>48</v>
      </c>
      <c r="J22" s="6" t="inlineStr">
        <is>
          <t>https://api.openalex.org/institutions/I170897317?api_key=eN9RGcYK6NQuQJHOJ2XBDX</t>
        </is>
      </c>
    </row>
    <row r="23">
      <c r="A23" s="7" t="n">
        <v>22</v>
      </c>
      <c r="B23" s="8" t="inlineStr">
        <is>
          <t>The University of Texas at Austin</t>
        </is>
      </c>
      <c r="C23" s="4" t="n">
        <v>2107</v>
      </c>
      <c r="D23" s="4" t="n">
        <v>167647</v>
      </c>
      <c r="E23" s="4" t="n">
        <v>1627613</v>
      </c>
      <c r="F23" s="5">
        <f>E23/D23</f>
        <v/>
      </c>
      <c r="G23" s="4" t="n">
        <v>1167</v>
      </c>
      <c r="H23" s="4" t="n">
        <v>32</v>
      </c>
      <c r="I23" s="4" t="n">
        <v>64</v>
      </c>
      <c r="J23" s="6" t="inlineStr">
        <is>
          <t>https://api.openalex.org/institutions/I86519309?api_key=eN9RGcYK6NQuQJHOJ2XBDX</t>
        </is>
      </c>
    </row>
    <row r="24">
      <c r="A24" s="7" t="n">
        <v>23</v>
      </c>
      <c r="B24" s="8" t="inlineStr">
        <is>
          <t>University of Southern California</t>
        </is>
      </c>
      <c r="C24" s="4" t="n">
        <v>2098</v>
      </c>
      <c r="D24" s="4" t="n">
        <v>97451</v>
      </c>
      <c r="E24" s="4" t="n">
        <v>1644688</v>
      </c>
      <c r="F24" s="5">
        <f>E24/D24</f>
        <v/>
      </c>
      <c r="G24" s="4" t="n">
        <v>1430</v>
      </c>
      <c r="H24" s="4" t="n">
        <v>22</v>
      </c>
      <c r="I24" s="4" t="n">
        <v>34</v>
      </c>
      <c r="J24" s="6" t="inlineStr">
        <is>
          <t>https://api.openalex.org/institutions/I1174212?api_key=eN9RGcYK6NQuQJHOJ2XBDX</t>
        </is>
      </c>
    </row>
    <row r="25">
      <c r="A25" s="7" t="n">
        <v>24</v>
      </c>
      <c r="B25" s="8" t="inlineStr">
        <is>
          <t>University of Illinois Urbana-Champaign</t>
        </is>
      </c>
      <c r="C25" s="4" t="n">
        <v>2051</v>
      </c>
      <c r="D25" s="4" t="n">
        <v>97100</v>
      </c>
      <c r="E25" s="4" t="n">
        <v>1581634</v>
      </c>
      <c r="F25" s="5">
        <f>E25/D25</f>
        <v/>
      </c>
      <c r="G25" s="4" t="n">
        <v>1359</v>
      </c>
      <c r="H25" s="4" t="n">
        <v>14</v>
      </c>
      <c r="I25" s="4" t="n">
        <v>21</v>
      </c>
      <c r="J25" s="6" t="inlineStr">
        <is>
          <t>https://api.openalex.org/institutions/I157725225?api_key=eN9RGcYK6NQuQJHOJ2XBDX</t>
        </is>
      </c>
    </row>
    <row r="26">
      <c r="A26" s="7" t="n">
        <v>25</v>
      </c>
      <c r="B26" s="8" t="inlineStr">
        <is>
          <t>University of California, Berkeley</t>
        </is>
      </c>
      <c r="C26" s="4" t="n">
        <v>2043</v>
      </c>
      <c r="D26" s="4" t="n">
        <v>135608</v>
      </c>
      <c r="E26" s="4" t="n">
        <v>2761703</v>
      </c>
      <c r="F26" s="5">
        <f>E26/D26</f>
        <v/>
      </c>
      <c r="G26" s="4" t="n">
        <v>1830</v>
      </c>
      <c r="H26" s="4" t="n">
        <v>43</v>
      </c>
      <c r="I26" s="4" t="n">
        <v>36</v>
      </c>
      <c r="J26" s="6" t="inlineStr">
        <is>
          <t>https://api.openalex.org/institutions/I95457486?api_key=eN9RGcYK6NQuQJHOJ2XBDX</t>
        </is>
      </c>
    </row>
    <row r="27">
      <c r="A27" s="7" t="n">
        <v>26</v>
      </c>
      <c r="B27" s="8" t="inlineStr">
        <is>
          <t>Emory University</t>
        </is>
      </c>
      <c r="C27" s="4" t="n">
        <v>2037</v>
      </c>
      <c r="D27" s="4" t="n">
        <v>99356</v>
      </c>
      <c r="E27" s="4" t="n">
        <v>1726390</v>
      </c>
      <c r="F27" s="5">
        <f>E27/D27</f>
        <v/>
      </c>
      <c r="G27" s="4" t="n">
        <v>1170</v>
      </c>
      <c r="H27" s="4" t="n">
        <v>19</v>
      </c>
      <c r="I27" s="4" t="n">
        <v>28</v>
      </c>
      <c r="J27" s="6" t="inlineStr">
        <is>
          <t>https://api.openalex.org/institutions/I150468666?api_key=eN9RGcYK6NQuQJHOJ2XBDX</t>
        </is>
      </c>
    </row>
    <row r="28">
      <c r="A28" s="7" t="n">
        <v>27</v>
      </c>
      <c r="B28" s="8" t="inlineStr">
        <is>
          <t>Purdue University West Lafayette</t>
        </is>
      </c>
      <c r="C28" s="4" t="n">
        <v>2009</v>
      </c>
      <c r="D28" s="4" t="n">
        <v>109921</v>
      </c>
      <c r="E28" s="4" t="n">
        <v>1169965</v>
      </c>
      <c r="F28" s="5">
        <f>E28/D28</f>
        <v/>
      </c>
      <c r="G28" s="4" t="n">
        <v>926</v>
      </c>
      <c r="H28" s="4" t="n">
        <v>0</v>
      </c>
      <c r="I28" s="4" t="n">
        <v>18</v>
      </c>
      <c r="J28" s="6" t="inlineStr">
        <is>
          <t>https://api.openalex.org/institutions/I219193219?api_key=eN9RGcYK6NQuQJHOJ2XBDX</t>
        </is>
      </c>
    </row>
    <row r="29">
      <c r="A29" s="7" t="n">
        <v>28</v>
      </c>
      <c r="B29" s="8" t="inlineStr">
        <is>
          <t>Northwestern University</t>
        </is>
      </c>
      <c r="C29" s="4" t="n">
        <v>1998</v>
      </c>
      <c r="D29" s="4" t="n">
        <v>89550</v>
      </c>
      <c r="E29" s="4" t="n">
        <v>2253177</v>
      </c>
      <c r="F29" s="5">
        <f>E29/D29</f>
        <v/>
      </c>
      <c r="G29" s="4" t="n">
        <v>1403</v>
      </c>
      <c r="H29" s="4" t="n">
        <v>0</v>
      </c>
      <c r="I29" s="4" t="n">
        <v>22</v>
      </c>
      <c r="J29" s="6" t="inlineStr">
        <is>
          <t>https://api.openalex.org/institutions/I111979921?api_key=eN9RGcYK6NQuQJHOJ2XBDX</t>
        </is>
      </c>
    </row>
    <row r="30">
      <c r="A30" s="7" t="n">
        <v>29</v>
      </c>
      <c r="B30" s="8" t="inlineStr">
        <is>
          <t>Rutgers, The State University of New Jersey</t>
        </is>
      </c>
      <c r="C30" s="4" t="n">
        <v>1996</v>
      </c>
      <c r="D30" s="4" t="n">
        <v>82768</v>
      </c>
      <c r="E30" s="4" t="n">
        <v>1386766</v>
      </c>
      <c r="F30" s="5">
        <f>E30/D30</f>
        <v/>
      </c>
      <c r="G30" s="4" t="n">
        <v>1110</v>
      </c>
      <c r="H30" s="4" t="n">
        <v>18</v>
      </c>
      <c r="I30" s="4" t="n">
        <v>33</v>
      </c>
      <c r="J30" s="6" t="inlineStr">
        <is>
          <t>https://api.openalex.org/institutions/I102322142?api_key=eN9RGcYK6NQuQJHOJ2XBDX</t>
        </is>
      </c>
    </row>
    <row r="31">
      <c r="A31" s="7" t="n">
        <v>30</v>
      </c>
      <c r="B31" s="8" t="inlineStr">
        <is>
          <t>Boston University</t>
        </is>
      </c>
      <c r="C31" s="4" t="n">
        <v>1991</v>
      </c>
      <c r="D31" s="4" t="n">
        <v>71102</v>
      </c>
      <c r="E31" s="4" t="n">
        <v>1437416</v>
      </c>
      <c r="F31" s="5">
        <f>E31/D31</f>
        <v/>
      </c>
      <c r="G31" s="4" t="n">
        <v>1328</v>
      </c>
      <c r="H31" s="4" t="n">
        <v>5</v>
      </c>
      <c r="I31" s="4" t="n">
        <v>39</v>
      </c>
      <c r="J31" s="6" t="inlineStr">
        <is>
          <t>https://api.openalex.org/institutions/I111088046?api_key=eN9RGcYK6NQuQJHOJ2XBDX</t>
        </is>
      </c>
    </row>
    <row r="32">
      <c r="A32" s="7" t="n">
        <v>31</v>
      </c>
      <c r="B32" s="8" t="inlineStr">
        <is>
          <t>University of Pittsburgh</t>
        </is>
      </c>
      <c r="C32" s="4" t="n">
        <v>1874</v>
      </c>
      <c r="D32" s="4" t="n">
        <v>102801</v>
      </c>
      <c r="E32" s="4" t="n">
        <v>1848060</v>
      </c>
      <c r="F32" s="5">
        <f>E32/D32</f>
        <v/>
      </c>
      <c r="G32" s="4" t="n">
        <v>1304</v>
      </c>
      <c r="H32" s="4" t="n">
        <v>16</v>
      </c>
      <c r="I32" s="4" t="n">
        <v>27</v>
      </c>
      <c r="J32" s="6" t="inlineStr">
        <is>
          <t>https://api.openalex.org/institutions/I170201317?api_key=eN9RGcYK6NQuQJHOJ2XBDX</t>
        </is>
      </c>
    </row>
    <row r="33">
      <c r="A33" s="7" t="n">
        <v>32</v>
      </c>
      <c r="B33" s="8" t="inlineStr">
        <is>
          <t>University of Toronto</t>
        </is>
      </c>
      <c r="C33" s="4" t="n">
        <v>1844</v>
      </c>
      <c r="D33" s="4" t="n">
        <v>220944</v>
      </c>
      <c r="E33" s="4" t="n">
        <v>4200467</v>
      </c>
      <c r="F33" s="5">
        <f>E33/D33</f>
        <v/>
      </c>
      <c r="G33" s="4" t="n">
        <v>1740</v>
      </c>
      <c r="H33" s="4" t="n">
        <v>34</v>
      </c>
      <c r="I33" s="4" t="n">
        <v>41</v>
      </c>
      <c r="J33" s="6" t="inlineStr">
        <is>
          <t>https://api.openalex.org/institutions/I185261750?api_key=eN9RGcYK6NQuQJHOJ2XBDX</t>
        </is>
      </c>
    </row>
    <row r="34">
      <c r="A34" s="7" t="n">
        <v>33</v>
      </c>
      <c r="B34" s="8" t="inlineStr">
        <is>
          <t>University of California San Diego</t>
        </is>
      </c>
      <c r="C34" s="4" t="n">
        <v>1824</v>
      </c>
      <c r="D34" s="4" t="n">
        <v>140289</v>
      </c>
      <c r="E34" s="4" t="n">
        <v>3017606</v>
      </c>
      <c r="F34" s="5">
        <f>E34/D34</f>
        <v/>
      </c>
      <c r="G34" s="4" t="n">
        <v>1698</v>
      </c>
      <c r="H34" s="4" t="n">
        <v>24</v>
      </c>
      <c r="I34" s="4" t="n">
        <v>40</v>
      </c>
      <c r="J34" s="6" t="inlineStr">
        <is>
          <t>https://api.openalex.org/institutions/I36258959?api_key=eN9RGcYK6NQuQJHOJ2XBDX</t>
        </is>
      </c>
    </row>
    <row r="35">
      <c r="A35" s="7" t="n">
        <v>34</v>
      </c>
      <c r="B35" s="8" t="inlineStr">
        <is>
          <t>University of Chicago</t>
        </is>
      </c>
      <c r="C35" s="4" t="n">
        <v>1724</v>
      </c>
      <c r="D35" s="4" t="n">
        <v>97281</v>
      </c>
      <c r="E35" s="4" t="n">
        <v>1829651</v>
      </c>
      <c r="F35" s="5">
        <f>E35/D35</f>
        <v/>
      </c>
      <c r="G35" s="4" t="n">
        <v>1609</v>
      </c>
      <c r="H35" s="4" t="n">
        <v>34</v>
      </c>
      <c r="I35" s="4" t="n">
        <v>37</v>
      </c>
      <c r="J35" s="6" t="inlineStr">
        <is>
          <t>https://api.openalex.org/institutions/I40347166?api_key=eN9RGcYK6NQuQJHOJ2XBDX</t>
        </is>
      </c>
    </row>
    <row r="36">
      <c r="A36" s="7" t="n">
        <v>35</v>
      </c>
      <c r="B36" s="8" t="inlineStr">
        <is>
          <t>University of Utah</t>
        </is>
      </c>
      <c r="C36" s="4" t="n">
        <v>1709</v>
      </c>
      <c r="D36" s="4" t="n">
        <v>88161</v>
      </c>
      <c r="E36" s="4" t="n">
        <v>1350582</v>
      </c>
      <c r="F36" s="5">
        <f>E36/D36</f>
        <v/>
      </c>
      <c r="G36" s="4" t="n">
        <v>1089</v>
      </c>
      <c r="H36" s="4" t="n">
        <v>12</v>
      </c>
      <c r="I36" s="4" t="n">
        <v>31</v>
      </c>
      <c r="J36" s="6" t="inlineStr">
        <is>
          <t>https://api.openalex.org/institutions/I223532165?api_key=eN9RGcYK6NQuQJHOJ2XBDX</t>
        </is>
      </c>
    </row>
    <row r="37">
      <c r="A37" s="7" t="n">
        <v>36</v>
      </c>
      <c r="B37" s="8" t="inlineStr">
        <is>
          <t>University of Illinois Chicago</t>
        </is>
      </c>
      <c r="C37" s="4" t="n">
        <v>1706</v>
      </c>
      <c r="D37" s="4" t="n">
        <v>66540</v>
      </c>
      <c r="E37" s="4" t="n">
        <v>1005994</v>
      </c>
      <c r="F37" s="5">
        <f>E37/D37</f>
        <v/>
      </c>
      <c r="G37" s="4" t="n">
        <v>921</v>
      </c>
      <c r="H37" s="4" t="n">
        <v>8</v>
      </c>
      <c r="I37" s="4" t="n">
        <v>22</v>
      </c>
      <c r="J37" s="6" t="inlineStr">
        <is>
          <t>https://api.openalex.org/institutions/I39422238?api_key=eN9RGcYK6NQuQJHOJ2XBDX</t>
        </is>
      </c>
    </row>
    <row r="38">
      <c r="A38" s="7" t="n">
        <v>37</v>
      </c>
      <c r="B38" s="8" t="inlineStr">
        <is>
          <t>University of Maryland, College Park</t>
        </is>
      </c>
      <c r="C38" s="4" t="n">
        <v>1627</v>
      </c>
      <c r="D38" s="4" t="n">
        <v>75522</v>
      </c>
      <c r="E38" s="4" t="n">
        <v>1493314</v>
      </c>
      <c r="F38" s="5">
        <f>E38/D38</f>
        <v/>
      </c>
      <c r="G38" s="4" t="n">
        <v>1301</v>
      </c>
      <c r="H38" s="4" t="n">
        <v>24</v>
      </c>
      <c r="I38" s="4" t="n">
        <v>29</v>
      </c>
      <c r="J38" s="6" t="inlineStr">
        <is>
          <t>https://api.openalex.org/institutions/I66946132?api_key=eN9RGcYK6NQuQJHOJ2XBDX</t>
        </is>
      </c>
    </row>
    <row r="39">
      <c r="A39" s="7" t="n">
        <v>38</v>
      </c>
      <c r="B39" s="8" t="inlineStr">
        <is>
          <t>Washington University in St. Louis</t>
        </is>
      </c>
      <c r="C39" s="4" t="n">
        <v>1600</v>
      </c>
      <c r="D39" s="4" t="n">
        <v>101103</v>
      </c>
      <c r="E39" s="4" t="n">
        <v>1882472</v>
      </c>
      <c r="F39" s="5">
        <f>E39/D39</f>
        <v/>
      </c>
      <c r="G39" s="4" t="n">
        <v>1760</v>
      </c>
      <c r="H39" s="4" t="n">
        <v>17</v>
      </c>
      <c r="I39" s="4" t="n">
        <v>26</v>
      </c>
      <c r="J39" s="6" t="inlineStr">
        <is>
          <t>https://api.openalex.org/institutions/I204465549?api_key=eN9RGcYK6NQuQJHOJ2XBDX</t>
        </is>
      </c>
    </row>
    <row r="40">
      <c r="A40" s="7" t="n">
        <v>39</v>
      </c>
      <c r="B40" s="8" t="inlineStr">
        <is>
          <t>University of Arizona</t>
        </is>
      </c>
      <c r="C40" s="4" t="n">
        <v>1589</v>
      </c>
      <c r="D40" s="4" t="n">
        <v>85474</v>
      </c>
      <c r="E40" s="4" t="n">
        <v>1327320</v>
      </c>
      <c r="F40" s="5">
        <f>E40/D40</f>
        <v/>
      </c>
      <c r="G40" s="4" t="n">
        <v>1219</v>
      </c>
      <c r="H40" s="4" t="n">
        <v>13</v>
      </c>
      <c r="I40" s="4" t="n">
        <v>17</v>
      </c>
      <c r="J40" s="6" t="inlineStr">
        <is>
          <t>https://api.openalex.org/institutions/I138006243?api_key=eN9RGcYK6NQuQJHOJ2XBDX</t>
        </is>
      </c>
    </row>
    <row r="41">
      <c r="A41" s="7" t="n">
        <v>40</v>
      </c>
      <c r="B41" s="8" t="inlineStr">
        <is>
          <t>Massachusetts General Hospital</t>
        </is>
      </c>
      <c r="C41" s="4" t="n">
        <v>1570</v>
      </c>
      <c r="D41" s="4" t="n">
        <v>110220</v>
      </c>
      <c r="E41" s="4" t="n">
        <v>2806609</v>
      </c>
      <c r="F41" s="5">
        <f>E41/D41</f>
        <v/>
      </c>
      <c r="G41" s="4" t="n">
        <v>1942</v>
      </c>
      <c r="H41" s="4" t="n">
        <v>0</v>
      </c>
      <c r="I41" s="4" t="n">
        <v>22</v>
      </c>
      <c r="J41" s="6" t="inlineStr">
        <is>
          <t>https://api.openalex.org/institutions/I4210087915?api_key=eN9RGcYK6NQuQJHOJ2XBDX</t>
        </is>
      </c>
    </row>
    <row r="42">
      <c r="A42" s="7" t="n">
        <v>41</v>
      </c>
      <c r="B42" s="8" t="inlineStr">
        <is>
          <t>Texas A&amp;M University</t>
        </is>
      </c>
      <c r="C42" s="4" t="n">
        <v>1533</v>
      </c>
      <c r="D42" s="4" t="n">
        <v>89894</v>
      </c>
      <c r="E42" s="4" t="n">
        <v>1298272</v>
      </c>
      <c r="F42" s="5">
        <f>E42/D42</f>
        <v/>
      </c>
      <c r="G42" s="4" t="n">
        <v>1018</v>
      </c>
      <c r="H42" s="4" t="n">
        <v>19</v>
      </c>
      <c r="I42" s="4" t="n">
        <v>14</v>
      </c>
      <c r="J42" s="6" t="inlineStr">
        <is>
          <t>https://api.openalex.org/institutions/I91045830?api_key=eN9RGcYK6NQuQJHOJ2XBDX</t>
        </is>
      </c>
    </row>
    <row r="43">
      <c r="A43" s="7" t="n">
        <v>42</v>
      </c>
      <c r="B43" s="8" t="inlineStr">
        <is>
          <t>George Washington University</t>
        </is>
      </c>
      <c r="C43" s="4" t="n">
        <v>1491</v>
      </c>
      <c r="D43" s="4" t="n">
        <v>48373</v>
      </c>
      <c r="E43" s="4" t="n">
        <v>651331</v>
      </c>
      <c r="F43" s="5">
        <f>E43/D43</f>
        <v/>
      </c>
      <c r="G43" s="4" t="n">
        <v>726</v>
      </c>
      <c r="H43" s="4" t="n">
        <v>0</v>
      </c>
      <c r="I43" s="4" t="n">
        <v>18</v>
      </c>
      <c r="J43" s="6" t="inlineStr">
        <is>
          <t>https://api.openalex.org/institutions/I193531525?api_key=eN9RGcYK6NQuQJHOJ2XBDX</t>
        </is>
      </c>
    </row>
    <row r="44">
      <c r="A44" s="7" t="n">
        <v>43</v>
      </c>
      <c r="B44" s="8" t="inlineStr">
        <is>
          <t>University of Colorado Denver</t>
        </is>
      </c>
      <c r="C44" s="4" t="n">
        <v>1490</v>
      </c>
      <c r="D44" s="4" t="n">
        <v>60508</v>
      </c>
      <c r="E44" s="4" t="n">
        <v>1313959</v>
      </c>
      <c r="F44" s="5">
        <f>E44/D44</f>
        <v/>
      </c>
      <c r="G44" s="4" t="n">
        <v>954</v>
      </c>
      <c r="H44" s="4" t="n">
        <v>0</v>
      </c>
      <c r="I44" s="4" t="n">
        <v>13</v>
      </c>
      <c r="J44" s="6" t="inlineStr">
        <is>
          <t>https://api.openalex.org/institutions/I921990950?api_key=eN9RGcYK6NQuQJHOJ2XBDX</t>
        </is>
      </c>
    </row>
    <row r="45">
      <c r="A45" s="7" t="n">
        <v>44</v>
      </c>
      <c r="B45" s="8" t="inlineStr">
        <is>
          <t>University of South Florida</t>
        </is>
      </c>
      <c r="C45" s="4" t="n">
        <v>1462</v>
      </c>
      <c r="D45" s="4" t="n">
        <v>47038</v>
      </c>
      <c r="E45" s="4" t="n">
        <v>615333</v>
      </c>
      <c r="F45" s="5">
        <f>E45/D45</f>
        <v/>
      </c>
      <c r="G45" s="4" t="n">
        <v>720</v>
      </c>
      <c r="H45" s="4" t="n">
        <v>0</v>
      </c>
      <c r="I45" s="4" t="n">
        <v>23</v>
      </c>
      <c r="J45" s="6" t="inlineStr">
        <is>
          <t>https://api.openalex.org/institutions/I2613432?api_key=eN9RGcYK6NQuQJHOJ2XBDX</t>
        </is>
      </c>
    </row>
    <row r="46">
      <c r="A46" s="7" t="n">
        <v>45</v>
      </c>
      <c r="B46" s="8" t="inlineStr">
        <is>
          <t>Virginia Tech</t>
        </is>
      </c>
      <c r="C46" s="4" t="n">
        <v>1451</v>
      </c>
      <c r="D46" s="4" t="n">
        <v>62084</v>
      </c>
      <c r="E46" s="4" t="n">
        <v>864486</v>
      </c>
      <c r="F46" s="5">
        <f>E46/D46</f>
        <v/>
      </c>
      <c r="G46" s="4" t="n">
        <v>769</v>
      </c>
      <c r="H46" s="4" t="n">
        <v>0</v>
      </c>
      <c r="I46" s="4" t="n">
        <v>0</v>
      </c>
      <c r="J46" s="6" t="inlineStr">
        <is>
          <t>https://api.openalex.org/institutions/I859038795?api_key=eN9RGcYK6NQuQJHOJ2XBDX</t>
        </is>
      </c>
    </row>
    <row r="47">
      <c r="A47" s="7" t="n">
        <v>46</v>
      </c>
      <c r="B47" s="8" t="inlineStr">
        <is>
          <t>Indiana University Bloomington</t>
        </is>
      </c>
      <c r="C47" s="4" t="n">
        <v>1397</v>
      </c>
      <c r="D47" s="4" t="n">
        <v>35239</v>
      </c>
      <c r="E47" s="4" t="n">
        <v>731088</v>
      </c>
      <c r="F47" s="5">
        <f>E47/D47</f>
        <v/>
      </c>
      <c r="G47" s="4" t="n">
        <v>853</v>
      </c>
      <c r="H47" s="4" t="n">
        <v>0</v>
      </c>
      <c r="I47" s="4" t="n">
        <v>13</v>
      </c>
      <c r="J47" s="6" t="inlineStr">
        <is>
          <t>https://api.openalex.org/institutions/I4210119109?api_key=eN9RGcYK6NQuQJHOJ2XBDX</t>
        </is>
      </c>
    </row>
    <row r="48">
      <c r="A48" s="7" t="n">
        <v>47</v>
      </c>
      <c r="B48" s="8" t="inlineStr">
        <is>
          <t>Indiana University – Purdue University Indianapolis</t>
        </is>
      </c>
      <c r="C48" s="4" t="n">
        <v>1390</v>
      </c>
      <c r="D48" s="4" t="n">
        <v>56480</v>
      </c>
      <c r="E48" s="4" t="n">
        <v>843042</v>
      </c>
      <c r="F48" s="5">
        <f>E48/D48</f>
        <v/>
      </c>
      <c r="G48" s="4" t="n">
        <v>861</v>
      </c>
      <c r="H48" s="4" t="n">
        <v>0</v>
      </c>
      <c r="I48" s="4" t="n">
        <v>15</v>
      </c>
      <c r="J48" s="6" t="inlineStr">
        <is>
          <t>https://api.openalex.org/institutions/I55769427?api_key=eN9RGcYK6NQuQJHOJ2XBDX</t>
        </is>
      </c>
    </row>
    <row r="49">
      <c r="A49" s="7" t="n">
        <v>48</v>
      </c>
      <c r="B49" s="8" t="inlineStr">
        <is>
          <t>University of Virginia</t>
        </is>
      </c>
      <c r="C49" s="4" t="n">
        <v>1389</v>
      </c>
      <c r="D49" s="4" t="n">
        <v>67728</v>
      </c>
      <c r="E49" s="4" t="n">
        <v>1062975</v>
      </c>
      <c r="F49" s="5">
        <f>E49/D49</f>
        <v/>
      </c>
      <c r="G49" s="4" t="n">
        <v>1017</v>
      </c>
      <c r="H49" s="4" t="n">
        <v>20</v>
      </c>
      <c r="I49" s="4" t="n">
        <v>25</v>
      </c>
      <c r="J49" s="6" t="inlineStr">
        <is>
          <t>https://api.openalex.org/institutions/I51556381?api_key=eN9RGcYK6NQuQJHOJ2XBDX</t>
        </is>
      </c>
    </row>
    <row r="50">
      <c r="A50" s="7" t="n">
        <v>49</v>
      </c>
      <c r="B50" s="8" t="inlineStr">
        <is>
          <t>Brown University</t>
        </is>
      </c>
      <c r="C50" s="4" t="n">
        <v>1378</v>
      </c>
      <c r="D50" s="4" t="n">
        <v>52181</v>
      </c>
      <c r="E50" s="4" t="n">
        <v>1016461</v>
      </c>
      <c r="F50" s="5">
        <f>E50/D50</f>
        <v/>
      </c>
      <c r="G50" s="4" t="n">
        <v>980</v>
      </c>
      <c r="H50" s="4" t="n">
        <v>32</v>
      </c>
      <c r="I50" s="4" t="n">
        <v>12</v>
      </c>
      <c r="J50" s="6" t="inlineStr">
        <is>
          <t>https://api.openalex.org/institutions/I27804330?api_key=eN9RGcYK6NQuQJHOJ2XBDX</t>
        </is>
      </c>
    </row>
    <row r="51">
      <c r="A51" s="7" t="n">
        <v>50</v>
      </c>
      <c r="B51" s="8" t="inlineStr">
        <is>
          <t>University of Georgia</t>
        </is>
      </c>
      <c r="C51" s="4" t="n">
        <v>1360</v>
      </c>
      <c r="D51" s="4" t="n">
        <v>45333</v>
      </c>
      <c r="E51" s="4" t="n">
        <v>727567</v>
      </c>
      <c r="F51" s="5">
        <f>E51/D51</f>
        <v/>
      </c>
      <c r="G51" s="4" t="n">
        <v>841</v>
      </c>
      <c r="H51" s="4" t="n">
        <v>0</v>
      </c>
      <c r="I51" s="4" t="n">
        <v>12</v>
      </c>
      <c r="J51" s="6" t="inlineStr">
        <is>
          <t>https://api.openalex.org/institutions/I165733156?api_key=eN9RGcYK6NQuQJHOJ2XBDX</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8" customWidth="1" min="1" max="1"/>
    <col width="10" customWidth="1" min="2" max="2"/>
    <col width="10" customWidth="1" min="3" max="3"/>
    <col width="10" customWidth="1" min="4" max="4"/>
    <col width="10" customWidth="1" min="5" max="5"/>
    <col width="10" customWidth="1" min="6" max="6"/>
    <col width="10" customWidth="1" min="7" max="7"/>
    <col width="15" customWidth="1" min="8" max="8"/>
    <col width="16" customWidth="1" min="9" max="9"/>
  </cols>
  <sheetData>
    <row r="1">
      <c r="A1" s="1" t="inlineStr">
        <is>
          <t>Institution</t>
        </is>
      </c>
      <c r="B1" s="9" t="inlineStr">
        <is>
          <t>Gold</t>
        </is>
      </c>
      <c r="C1" s="10" t="inlineStr">
        <is>
          <t>Green</t>
        </is>
      </c>
      <c r="D1" s="11" t="inlineStr">
        <is>
          <t>Hybrid</t>
        </is>
      </c>
      <c r="E1" s="12" t="inlineStr">
        <is>
          <t>Bronze</t>
        </is>
      </c>
      <c r="F1" s="13" t="inlineStr">
        <is>
          <t>Diamond</t>
        </is>
      </c>
      <c r="G1" s="14" t="inlineStr">
        <is>
          <t>Closed</t>
        </is>
      </c>
      <c r="H1" s="1" t="inlineStr">
        <is>
          <t>Total</t>
        </is>
      </c>
      <c r="I1" s="1" t="inlineStr">
        <is>
          <t>OA Rate</t>
        </is>
      </c>
    </row>
    <row r="2">
      <c r="A2" s="2" t="inlineStr">
        <is>
          <t>Harvard University</t>
        </is>
      </c>
      <c r="B2" s="4" t="n">
        <v>60135</v>
      </c>
      <c r="C2" s="4" t="n">
        <v>58719</v>
      </c>
      <c r="D2" s="4" t="n">
        <v>21586</v>
      </c>
      <c r="E2" s="4" t="n">
        <v>29833</v>
      </c>
      <c r="F2" s="4" t="n">
        <v>8657</v>
      </c>
      <c r="G2" s="4" t="n">
        <v>79974</v>
      </c>
      <c r="H2" s="4">
        <f>SUM(B2:G2)</f>
        <v/>
      </c>
      <c r="I2" s="15">
        <f>(H2-G2)/H2</f>
        <v/>
      </c>
    </row>
    <row r="3">
      <c r="A3" s="2" t="inlineStr">
        <is>
          <t>University of Michigan</t>
        </is>
      </c>
      <c r="B3" s="4" t="n">
        <v>31083</v>
      </c>
      <c r="C3" s="4" t="n">
        <v>478144</v>
      </c>
      <c r="D3" s="4" t="n">
        <v>13806</v>
      </c>
      <c r="E3" s="4" t="n">
        <v>18674</v>
      </c>
      <c r="F3" s="4" t="n">
        <v>6881</v>
      </c>
      <c r="G3" s="4" t="n">
        <v>61526</v>
      </c>
      <c r="H3" s="4">
        <f>SUM(B3:G3)</f>
        <v/>
      </c>
      <c r="I3" s="15">
        <f>(H3-G3)/H3</f>
        <v/>
      </c>
    </row>
    <row r="4">
      <c r="A4" s="2" t="inlineStr">
        <is>
          <t>Johns Hopkins University</t>
        </is>
      </c>
      <c r="B4" s="4" t="n">
        <v>38427</v>
      </c>
      <c r="C4" s="4" t="n">
        <v>41634</v>
      </c>
      <c r="D4" s="4" t="n">
        <v>13103</v>
      </c>
      <c r="E4" s="4" t="n">
        <v>17515</v>
      </c>
      <c r="F4" s="4" t="n">
        <v>6030</v>
      </c>
      <c r="G4" s="4" t="n">
        <v>59096</v>
      </c>
      <c r="H4" s="4">
        <f>SUM(B4:G4)</f>
        <v/>
      </c>
      <c r="I4" s="15">
        <f>(H4-G4)/H4</f>
        <v/>
      </c>
    </row>
    <row r="5">
      <c r="A5" s="2" t="inlineStr">
        <is>
          <t>University of Washington</t>
        </is>
      </c>
      <c r="B5" s="4" t="n">
        <v>32632</v>
      </c>
      <c r="C5" s="4" t="n">
        <v>80217</v>
      </c>
      <c r="D5" s="4" t="n">
        <v>12433</v>
      </c>
      <c r="E5" s="4" t="n">
        <v>15005</v>
      </c>
      <c r="F5" s="4" t="n">
        <v>5694</v>
      </c>
      <c r="G5" s="4" t="n">
        <v>50580</v>
      </c>
      <c r="H5" s="4">
        <f>SUM(B5:G5)</f>
        <v/>
      </c>
      <c r="I5" s="15">
        <f>(H5-G5)/H5</f>
        <v/>
      </c>
    </row>
    <row r="6">
      <c r="A6" s="2" t="inlineStr">
        <is>
          <t>University of North Carolina at Chapel Hill</t>
        </is>
      </c>
      <c r="B6" s="4" t="n">
        <v>19608</v>
      </c>
      <c r="C6" s="4" t="n">
        <v>83304</v>
      </c>
      <c r="D6" s="4" t="n">
        <v>7382</v>
      </c>
      <c r="E6" s="4" t="n">
        <v>9591</v>
      </c>
      <c r="F6" s="4" t="n">
        <v>3726</v>
      </c>
      <c r="G6" s="4" t="n">
        <v>33470</v>
      </c>
      <c r="H6" s="4">
        <f>SUM(B6:G6)</f>
        <v/>
      </c>
      <c r="I6" s="15">
        <f>(H6-G6)/H6</f>
        <v/>
      </c>
    </row>
    <row r="7">
      <c r="A7" s="2" t="inlineStr">
        <is>
          <t>Stanford University</t>
        </is>
      </c>
      <c r="B7" s="4" t="n">
        <v>33177</v>
      </c>
      <c r="C7" s="4" t="n">
        <v>51818</v>
      </c>
      <c r="D7" s="4" t="n">
        <v>13719</v>
      </c>
      <c r="E7" s="4" t="n">
        <v>16857</v>
      </c>
      <c r="F7" s="4" t="n">
        <v>5255</v>
      </c>
      <c r="G7" s="4" t="n">
        <v>60340</v>
      </c>
      <c r="H7" s="4">
        <f>SUM(B7:G7)</f>
        <v/>
      </c>
      <c r="I7" s="15">
        <f>(H7-G7)/H7</f>
        <v/>
      </c>
    </row>
    <row r="8">
      <c r="A8" s="2" t="inlineStr">
        <is>
          <t>Pennsylvania State University</t>
        </is>
      </c>
      <c r="B8" s="4" t="n">
        <v>17767</v>
      </c>
      <c r="C8" s="4" t="n">
        <v>19842</v>
      </c>
      <c r="D8" s="4" t="n">
        <v>7649</v>
      </c>
      <c r="E8" s="4" t="n">
        <v>7117</v>
      </c>
      <c r="F8" s="4" t="n">
        <v>4146</v>
      </c>
      <c r="G8" s="4" t="n">
        <v>41192</v>
      </c>
      <c r="H8" s="4">
        <f>SUM(B8:G8)</f>
        <v/>
      </c>
      <c r="I8" s="15">
        <f>(H8-G8)/H8</f>
        <v/>
      </c>
    </row>
    <row r="9">
      <c r="A9" s="2" t="inlineStr">
        <is>
          <t>University of Pennsylvania</t>
        </is>
      </c>
      <c r="B9" s="4" t="n">
        <v>23928</v>
      </c>
      <c r="C9" s="4" t="n">
        <v>30657</v>
      </c>
      <c r="D9" s="4" t="n">
        <v>11290</v>
      </c>
      <c r="E9" s="4" t="n">
        <v>15102</v>
      </c>
      <c r="F9" s="4" t="n">
        <v>3778</v>
      </c>
      <c r="G9" s="4" t="n">
        <v>45118</v>
      </c>
      <c r="H9" s="4">
        <f>SUM(B9:G9)</f>
        <v/>
      </c>
      <c r="I9" s="15">
        <f>(H9-G9)/H9</f>
        <v/>
      </c>
    </row>
    <row r="10">
      <c r="A10" s="2" t="inlineStr">
        <is>
          <t>Columbia University</t>
        </is>
      </c>
      <c r="B10" s="4" t="n">
        <v>22708</v>
      </c>
      <c r="C10" s="4" t="n">
        <v>31048</v>
      </c>
      <c r="D10" s="4" t="n">
        <v>8604</v>
      </c>
      <c r="E10" s="4" t="n">
        <v>10875</v>
      </c>
      <c r="F10" s="4" t="n">
        <v>5174</v>
      </c>
      <c r="G10" s="4" t="n">
        <v>38919</v>
      </c>
      <c r="H10" s="4">
        <f>SUM(B10:G10)</f>
        <v/>
      </c>
      <c r="I10" s="15">
        <f>(H10-G10)/H10</f>
        <v/>
      </c>
    </row>
    <row r="11">
      <c r="A11" s="2" t="inlineStr">
        <is>
          <t>Yale University</t>
        </is>
      </c>
      <c r="B11" s="4" t="n">
        <v>24786</v>
      </c>
      <c r="C11" s="4" t="n">
        <v>35089</v>
      </c>
      <c r="D11" s="4" t="n">
        <v>9309</v>
      </c>
      <c r="E11" s="4" t="n">
        <v>12512</v>
      </c>
      <c r="F11" s="4" t="n">
        <v>4636</v>
      </c>
      <c r="G11" s="4" t="n">
        <v>45073</v>
      </c>
      <c r="H11" s="4">
        <f>SUM(B11:G11)</f>
        <v/>
      </c>
      <c r="I11" s="15">
        <f>(H11-G11)/H11</f>
        <v/>
      </c>
    </row>
    <row r="12">
      <c r="A12" s="2" t="inlineStr">
        <is>
          <t>New York University</t>
        </is>
      </c>
      <c r="B12" s="4" t="n">
        <v>17421</v>
      </c>
      <c r="C12" s="4" t="n">
        <v>23412</v>
      </c>
      <c r="D12" s="4" t="n">
        <v>6948</v>
      </c>
      <c r="E12" s="4" t="n">
        <v>8014</v>
      </c>
      <c r="F12" s="4" t="n">
        <v>4240</v>
      </c>
      <c r="G12" s="4" t="n">
        <v>34569</v>
      </c>
      <c r="H12" s="4">
        <f>SUM(B12:G12)</f>
        <v/>
      </c>
      <c r="I12" s="15">
        <f>(H12-G12)/H12</f>
        <v/>
      </c>
    </row>
    <row r="13">
      <c r="A13" s="2" t="inlineStr">
        <is>
          <t>Arizona State University</t>
        </is>
      </c>
      <c r="B13" s="4" t="n">
        <v>11555</v>
      </c>
      <c r="C13" s="4" t="n">
        <v>13607</v>
      </c>
      <c r="D13" s="4" t="n">
        <v>4654</v>
      </c>
      <c r="E13" s="4" t="n">
        <v>4398</v>
      </c>
      <c r="F13" s="4" t="n">
        <v>2896</v>
      </c>
      <c r="G13" s="4" t="n">
        <v>31165</v>
      </c>
      <c r="H13" s="4">
        <f>SUM(B13:G13)</f>
        <v/>
      </c>
      <c r="I13" s="15">
        <f>(H13-G13)/H13</f>
        <v/>
      </c>
    </row>
    <row r="14">
      <c r="A14" s="2" t="inlineStr">
        <is>
          <t>University of California, San Francisco</t>
        </is>
      </c>
      <c r="B14" s="4" t="n">
        <v>23227</v>
      </c>
      <c r="C14" s="4" t="n">
        <v>23798</v>
      </c>
      <c r="D14" s="4" t="n">
        <v>11381</v>
      </c>
      <c r="E14" s="4" t="n">
        <v>13579</v>
      </c>
      <c r="F14" s="4" t="n">
        <v>3110</v>
      </c>
      <c r="G14" s="4" t="n">
        <v>32735</v>
      </c>
      <c r="H14" s="4">
        <f>SUM(B14:G14)</f>
        <v/>
      </c>
      <c r="I14" s="15">
        <f>(H14-G14)/H14</f>
        <v/>
      </c>
    </row>
    <row r="15">
      <c r="A15" s="2" t="inlineStr">
        <is>
          <t>Cornell University</t>
        </is>
      </c>
      <c r="B15" s="4" t="n">
        <v>28229</v>
      </c>
      <c r="C15" s="4" t="n">
        <v>34647</v>
      </c>
      <c r="D15" s="4" t="n">
        <v>11226</v>
      </c>
      <c r="E15" s="4" t="n">
        <v>14410</v>
      </c>
      <c r="F15" s="4" t="n">
        <v>5281</v>
      </c>
      <c r="G15" s="4" t="n">
        <v>52731</v>
      </c>
      <c r="H15" s="4">
        <f>SUM(B15:G15)</f>
        <v/>
      </c>
      <c r="I15" s="15">
        <f>(H15-G15)/H15</f>
        <v/>
      </c>
    </row>
    <row r="16">
      <c r="A16" s="2" t="inlineStr">
        <is>
          <t>University of Florida</t>
        </is>
      </c>
      <c r="B16" s="4" t="n">
        <v>23625</v>
      </c>
      <c r="C16" s="4" t="n">
        <v>23759</v>
      </c>
      <c r="D16" s="4" t="n">
        <v>7300</v>
      </c>
      <c r="E16" s="4" t="n">
        <v>9241</v>
      </c>
      <c r="F16" s="4" t="n">
        <v>9079</v>
      </c>
      <c r="G16" s="4" t="n">
        <v>45836</v>
      </c>
      <c r="H16" s="4">
        <f>SUM(B16:G16)</f>
        <v/>
      </c>
      <c r="I16" s="15">
        <f>(H16-G16)/H16</f>
        <v/>
      </c>
    </row>
    <row r="17">
      <c r="A17" s="2" t="inlineStr">
        <is>
          <t>The Ohio State University</t>
        </is>
      </c>
      <c r="B17" s="4" t="n">
        <v>18703</v>
      </c>
      <c r="C17" s="4" t="n">
        <v>18277</v>
      </c>
      <c r="D17" s="4" t="n">
        <v>8464</v>
      </c>
      <c r="E17" s="4" t="n">
        <v>9014</v>
      </c>
      <c r="F17" s="4" t="n">
        <v>4322</v>
      </c>
      <c r="G17" s="4" t="n">
        <v>42174</v>
      </c>
      <c r="H17" s="4">
        <f>SUM(B17:G17)</f>
        <v/>
      </c>
      <c r="I17" s="15">
        <f>(H17-G17)/H17</f>
        <v/>
      </c>
    </row>
    <row r="18">
      <c r="A18" s="2" t="inlineStr">
        <is>
          <t>University of Minnesota</t>
        </is>
      </c>
      <c r="B18" s="4" t="n">
        <v>19329</v>
      </c>
      <c r="C18" s="4" t="n">
        <v>17429</v>
      </c>
      <c r="D18" s="4" t="n">
        <v>8567</v>
      </c>
      <c r="E18" s="4" t="n">
        <v>8498</v>
      </c>
      <c r="F18" s="4" t="n">
        <v>3378</v>
      </c>
      <c r="G18" s="4" t="n">
        <v>36561</v>
      </c>
      <c r="H18" s="4">
        <f>SUM(B18:G18)</f>
        <v/>
      </c>
      <c r="I18" s="15">
        <f>(H18-G18)/H18</f>
        <v/>
      </c>
    </row>
    <row r="19">
      <c r="A19" s="2" t="inlineStr">
        <is>
          <t>Michigan State University</t>
        </is>
      </c>
      <c r="B19" s="4" t="n">
        <v>13925</v>
      </c>
      <c r="C19" s="4" t="n">
        <v>23068</v>
      </c>
      <c r="D19" s="4" t="n">
        <v>7164</v>
      </c>
      <c r="E19" s="4" t="n">
        <v>5093</v>
      </c>
      <c r="F19" s="4" t="n">
        <v>3670</v>
      </c>
      <c r="G19" s="4" t="n">
        <v>29244</v>
      </c>
      <c r="H19" s="4">
        <f>SUM(B19:G19)</f>
        <v/>
      </c>
      <c r="I19" s="15">
        <f>(H19-G19)/H19</f>
        <v/>
      </c>
    </row>
    <row r="20">
      <c r="A20" s="2" t="inlineStr">
        <is>
          <t>University of Wisconsin–Madison</t>
        </is>
      </c>
      <c r="B20" s="4" t="n">
        <v>19943</v>
      </c>
      <c r="C20" s="4" t="n">
        <v>23621</v>
      </c>
      <c r="D20" s="4" t="n">
        <v>9209</v>
      </c>
      <c r="E20" s="4" t="n">
        <v>8535</v>
      </c>
      <c r="F20" s="4" t="n">
        <v>3827</v>
      </c>
      <c r="G20" s="4" t="n">
        <v>37654</v>
      </c>
      <c r="H20" s="4">
        <f>SUM(B20:G20)</f>
        <v/>
      </c>
      <c r="I20" s="15">
        <f>(H20-G20)/H20</f>
        <v/>
      </c>
    </row>
    <row r="21">
      <c r="A21" s="2" t="inlineStr">
        <is>
          <t>University of California, Los Angeles</t>
        </is>
      </c>
      <c r="B21" s="4" t="n">
        <v>24421</v>
      </c>
      <c r="C21" s="4" t="n">
        <v>29439</v>
      </c>
      <c r="D21" s="4" t="n">
        <v>11321</v>
      </c>
      <c r="E21" s="4" t="n">
        <v>11714</v>
      </c>
      <c r="F21" s="4" t="n">
        <v>4663</v>
      </c>
      <c r="G21" s="4" t="n">
        <v>41410</v>
      </c>
      <c r="H21" s="4">
        <f>SUM(B21:G21)</f>
        <v/>
      </c>
      <c r="I21" s="15">
        <f>(H21-G21)/H21</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50" customWidth="1" min="2" max="2"/>
    <col width="10" customWidth="1" min="3" max="3"/>
    <col width="11" customWidth="1" min="4" max="4"/>
    <col width="20" customWidth="1" min="5" max="5"/>
    <col width="39" customWidth="1" min="6" max="6"/>
    <col width="34" customWidth="1" min="7" max="7"/>
  </cols>
  <sheetData>
    <row r="1">
      <c r="A1" s="1" t="inlineStr">
        <is>
          <t>Rank</t>
        </is>
      </c>
      <c r="B1" s="1" t="inlineStr">
        <is>
          <t>Title</t>
        </is>
      </c>
      <c r="C1" s="1" t="inlineStr">
        <is>
          <t>Year</t>
        </is>
      </c>
      <c r="D1" s="1" t="inlineStr">
        <is>
          <t>Citations</t>
        </is>
      </c>
      <c r="E1" s="1" t="inlineStr">
        <is>
          <t>DOI</t>
        </is>
      </c>
      <c r="F1" s="1" t="inlineStr">
        <is>
          <t>Institutions</t>
        </is>
      </c>
      <c r="G1" s="1" t="inlineStr">
        <is>
          <t>OpenAlex Link</t>
        </is>
      </c>
    </row>
    <row r="2">
      <c r="A2" s="7" t="n">
        <v>1</v>
      </c>
      <c r="B2" s="8" t="inlineStr">
        <is>
          <t>Apparent Per Capita Alcohol Consumption: National, State, and Regional Trends 19</t>
        </is>
      </c>
      <c r="C2" s="3" t="n">
        <v>2018</v>
      </c>
      <c r="D2" s="4" t="n">
        <v>193</v>
      </c>
      <c r="E2" s="3" t="inlineStr">
        <is>
          <t>10.3886/e105583v1</t>
        </is>
      </c>
      <c r="F2" s="3" t="inlineStr">
        <is>
          <t>California University of Pennsylvania</t>
        </is>
      </c>
      <c r="G2" s="6" t="inlineStr">
        <is>
          <t>https://openalex.org/W2919727463</t>
        </is>
      </c>
    </row>
    <row r="3">
      <c r="A3" s="7" t="n">
        <v>2</v>
      </c>
      <c r="B3" s="8" t="inlineStr">
        <is>
          <t>Coronavirus (Covid-19) Data in the United States</t>
        </is>
      </c>
      <c r="C3" s="3" t="n">
        <v>2020</v>
      </c>
      <c r="D3" s="4" t="n">
        <v>175</v>
      </c>
      <c r="E3" s="3" t="inlineStr">
        <is>
          <t>10.3886/e128303v1</t>
        </is>
      </c>
      <c r="F3" s="3" t="inlineStr"/>
      <c r="G3" s="6" t="inlineStr">
        <is>
          <t>https://openalex.org/W3131522876</t>
        </is>
      </c>
    </row>
    <row r="4">
      <c r="A4" s="7" t="n">
        <v>3</v>
      </c>
      <c r="B4" s="8" t="inlineStr">
        <is>
          <t>Jacob Kaplan's Concatenated Files: Uniform Crime Reporting Program Data: Offense</t>
        </is>
      </c>
      <c r="C4" s="3" t="n">
        <v>2021</v>
      </c>
      <c r="D4" s="4" t="n">
        <v>25</v>
      </c>
      <c r="E4" s="3" t="inlineStr">
        <is>
          <t>10.3886/e100707v17</t>
        </is>
      </c>
      <c r="F4" s="3" t="inlineStr">
        <is>
          <t>Princeton University</t>
        </is>
      </c>
      <c r="G4" s="6" t="inlineStr">
        <is>
          <t>https://openalex.org/W3013684960</t>
        </is>
      </c>
    </row>
    <row r="5">
      <c r="A5" s="7" t="n">
        <v>4</v>
      </c>
      <c r="B5" s="8" t="inlineStr">
        <is>
          <t>Impacts of Private Prison Contracting on Inmate Time Served and Recidivism</t>
        </is>
      </c>
      <c r="C5" s="3" t="n">
        <v>2020</v>
      </c>
      <c r="D5" s="4" t="n">
        <v>16</v>
      </c>
      <c r="E5" s="3" t="inlineStr">
        <is>
          <t>10.3886/e119726v1</t>
        </is>
      </c>
      <c r="F5" s="3" t="inlineStr">
        <is>
          <t>University of Wisconsin–Madison</t>
        </is>
      </c>
      <c r="G5" s="6" t="inlineStr">
        <is>
          <t>https://openalex.org/W3158017914</t>
        </is>
      </c>
    </row>
    <row r="6">
      <c r="A6" s="7" t="n">
        <v>5</v>
      </c>
      <c r="B6" s="8" t="inlineStr">
        <is>
          <t>Uniform Crime Reporting (UCR) Program Data: Arrests by Age, Sex, and Race, 1974-</t>
        </is>
      </c>
      <c r="C6" s="3" t="n">
        <v>2018</v>
      </c>
      <c r="D6" s="4" t="n">
        <v>16</v>
      </c>
      <c r="E6" s="3" t="inlineStr">
        <is>
          <t>10.3886/e102263v7</t>
        </is>
      </c>
      <c r="F6" s="3" t="inlineStr">
        <is>
          <t>California University of Pennsylvania</t>
        </is>
      </c>
      <c r="G6" s="6" t="inlineStr">
        <is>
          <t>https://openalex.org/W2968983452</t>
        </is>
      </c>
    </row>
    <row r="7">
      <c r="A7" s="7" t="n">
        <v>6</v>
      </c>
      <c r="B7" s="8" t="inlineStr">
        <is>
          <t>Annual Survey of State Government Finances 1992-2017</t>
        </is>
      </c>
      <c r="C7" s="3" t="n">
        <v>2019</v>
      </c>
      <c r="D7" s="4" t="n">
        <v>12</v>
      </c>
      <c r="E7" s="3" t="inlineStr">
        <is>
          <t>10.3886/e101880v2</t>
        </is>
      </c>
      <c r="F7" s="3" t="inlineStr">
        <is>
          <t>California University of Pennsylvania</t>
        </is>
      </c>
      <c r="G7" s="6" t="inlineStr">
        <is>
          <t>https://openalex.org/W2935517252</t>
        </is>
      </c>
    </row>
    <row r="8">
      <c r="A8" s="7" t="n">
        <v>7</v>
      </c>
      <c r="B8" s="8" t="inlineStr">
        <is>
          <t>Uniform Crime Reporting Program Data: Offenses Known and Clearances by Arrest, 1</t>
        </is>
      </c>
      <c r="C8" s="3" t="n">
        <v>2019</v>
      </c>
      <c r="D8" s="4" t="n">
        <v>12</v>
      </c>
      <c r="E8" s="3" t="inlineStr">
        <is>
          <t>10.3886/e100707v10</t>
        </is>
      </c>
      <c r="F8" s="3" t="inlineStr">
        <is>
          <t>California University of Pennsylvania</t>
        </is>
      </c>
      <c r="G8" s="6" t="inlineStr">
        <is>
          <t>https://openalex.org/W2915870313</t>
        </is>
      </c>
    </row>
    <row r="9">
      <c r="A9" s="7" t="n">
        <v>8</v>
      </c>
      <c r="B9" s="8" t="inlineStr">
        <is>
          <t>Jacob Kaplan's Concatenated Files: Uniform Crime Reporting Program Data: Law Enf</t>
        </is>
      </c>
      <c r="C9" s="3" t="n">
        <v>2021</v>
      </c>
      <c r="D9" s="4" t="n">
        <v>12</v>
      </c>
      <c r="E9" s="3" t="inlineStr">
        <is>
          <t>10.3886/e102180v10</t>
        </is>
      </c>
      <c r="F9" s="3" t="inlineStr">
        <is>
          <t>California University of Pennsylvania</t>
        </is>
      </c>
      <c r="G9" s="6" t="inlineStr">
        <is>
          <t>https://openalex.org/W3107810423</t>
        </is>
      </c>
    </row>
    <row r="10">
      <c r="A10" s="7" t="n">
        <v>9</v>
      </c>
      <c r="B10" s="8" t="inlineStr">
        <is>
          <t>United States Governors 1775-2020</t>
        </is>
      </c>
      <c r="C10" s="3" t="n">
        <v>2020</v>
      </c>
      <c r="D10" s="4" t="n">
        <v>11</v>
      </c>
      <c r="E10" s="3" t="inlineStr">
        <is>
          <t>10.3886/e102000v2</t>
        </is>
      </c>
      <c r="F10" s="3" t="inlineStr">
        <is>
          <t>California University of Pennsylvania</t>
        </is>
      </c>
      <c r="G10" s="6" t="inlineStr">
        <is>
          <t>https://openalex.org/W3096501452</t>
        </is>
      </c>
    </row>
    <row r="11">
      <c r="A11" s="7" t="n">
        <v>10</v>
      </c>
      <c r="B11" s="8" t="inlineStr">
        <is>
          <t>Jacob Kaplan's Concatenated Files: National Incident-Based Reporting System (NIB</t>
        </is>
      </c>
      <c r="C11" s="3" t="n">
        <v>2020</v>
      </c>
      <c r="D11" s="4" t="n">
        <v>11</v>
      </c>
      <c r="E11" s="3" t="inlineStr">
        <is>
          <t>10.3886/e118281v1</t>
        </is>
      </c>
      <c r="F11" s="3" t="inlineStr">
        <is>
          <t>California University of Pennsylvania</t>
        </is>
      </c>
      <c r="G11" s="6" t="inlineStr">
        <is>
          <t>https://openalex.org/W3014499011</t>
        </is>
      </c>
    </row>
    <row r="12">
      <c r="A12" s="7" t="n">
        <v>11</v>
      </c>
      <c r="B12" s="8" t="inlineStr">
        <is>
          <t>Annual Survey of Public Employment &amp;amp; Payroll (ASPEP) 1992-2016</t>
        </is>
      </c>
      <c r="C12" s="3" t="n">
        <v>2021</v>
      </c>
      <c r="D12" s="4" t="n">
        <v>9</v>
      </c>
      <c r="E12" s="3" t="inlineStr">
        <is>
          <t>10.3886/e101399v6</t>
        </is>
      </c>
      <c r="F12" s="3" t="inlineStr">
        <is>
          <t>California University of Pennsylvania</t>
        </is>
      </c>
      <c r="G12" s="6" t="inlineStr">
        <is>
          <t>https://openalex.org/W2912002784</t>
        </is>
      </c>
    </row>
    <row r="13">
      <c r="A13" s="7" t="n">
        <v>12</v>
      </c>
      <c r="B13" s="8" t="inlineStr">
        <is>
          <t>Jacob Kaplan's Concatenated Files: Uniform Crime Reporting (UCR) Program Data: S</t>
        </is>
      </c>
      <c r="C13" s="3" t="n">
        <v>2021</v>
      </c>
      <c r="D13" s="4" t="n">
        <v>9</v>
      </c>
      <c r="E13" s="3" t="inlineStr">
        <is>
          <t>10.3886/e100699v10</t>
        </is>
      </c>
      <c r="F13" s="3" t="inlineStr">
        <is>
          <t>Institute of Criminology</t>
        </is>
      </c>
      <c r="G13" s="6" t="inlineStr">
        <is>
          <t>https://openalex.org/W3117143701</t>
        </is>
      </c>
    </row>
    <row r="14">
      <c r="A14" s="7" t="n">
        <v>13</v>
      </c>
      <c r="B14" s="8" t="inlineStr">
        <is>
          <t>Jacob Kaplan's Concatenated Files: Uniform Crime Reporting Program Data: Law Enf</t>
        </is>
      </c>
      <c r="C14" s="3" t="n">
        <v>2020</v>
      </c>
      <c r="D14" s="4" t="n">
        <v>9</v>
      </c>
      <c r="E14" s="3" t="inlineStr">
        <is>
          <t>10.3886/e102180v7</t>
        </is>
      </c>
      <c r="F14" s="3" t="inlineStr">
        <is>
          <t>California University of Pennsylvania</t>
        </is>
      </c>
      <c r="G14" s="6" t="inlineStr">
        <is>
          <t>https://openalex.org/W3016041792</t>
        </is>
      </c>
    </row>
    <row r="15">
      <c r="A15" s="7" t="n">
        <v>14</v>
      </c>
      <c r="B15" s="8" t="inlineStr">
        <is>
          <t>Jacob Kaplan's Concatenated Files: Uniform Crime Reporting (UCR) Program Data: A</t>
        </is>
      </c>
      <c r="C15" s="3" t="n">
        <v>2019</v>
      </c>
      <c r="D15" s="4" t="n">
        <v>8</v>
      </c>
      <c r="E15" s="3" t="inlineStr">
        <is>
          <t>10.3886/e102263v8</t>
        </is>
      </c>
      <c r="F15" s="3" t="inlineStr">
        <is>
          <t>California University of Pennsylvania</t>
        </is>
      </c>
      <c r="G15" s="6" t="inlineStr">
        <is>
          <t>https://openalex.org/W2993993680</t>
        </is>
      </c>
    </row>
    <row r="16">
      <c r="A16" s="7" t="n">
        <v>15</v>
      </c>
      <c r="B16" s="8" t="inlineStr">
        <is>
          <t>Uniform Crime Reporting Program Data: Law Enforcement Officers Killed and Assaul</t>
        </is>
      </c>
      <c r="C16" s="3" t="n">
        <v>2018</v>
      </c>
      <c r="D16" s="4" t="n">
        <v>7</v>
      </c>
      <c r="E16" s="3" t="inlineStr">
        <is>
          <t>10.3886/e102180v1</t>
        </is>
      </c>
      <c r="F16" s="3" t="inlineStr">
        <is>
          <t>California University of Pennsylvania</t>
        </is>
      </c>
      <c r="G16" s="6" t="inlineStr">
        <is>
          <t>https://openalex.org/W3153491998</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2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2" customWidth="1" min="1" max="1"/>
    <col width="42" customWidth="1" min="2" max="2"/>
    <col width="10" customWidth="1" min="3" max="3"/>
    <col width="42" customWidth="1" min="4" max="4"/>
    <col width="10" customWidth="1" min="5" max="5"/>
    <col width="42" customWidth="1" min="6" max="6"/>
    <col width="10" customWidth="1" min="7" max="7"/>
    <col width="42" customWidth="1" min="8" max="8"/>
    <col width="10" customWidth="1" min="9" max="9"/>
    <col width="42" customWidth="1" min="10" max="10"/>
    <col width="10" customWidth="1" min="11" max="11"/>
  </cols>
  <sheetData>
    <row r="1">
      <c r="A1" s="1" t="inlineStr">
        <is>
          <t>Institution</t>
        </is>
      </c>
      <c r="B1" s="1" t="inlineStr">
        <is>
          <t>Topic 1</t>
        </is>
      </c>
      <c r="C1" s="1" t="inlineStr">
        <is>
          <t>Count</t>
        </is>
      </c>
      <c r="D1" s="1" t="inlineStr">
        <is>
          <t>Topic 2</t>
        </is>
      </c>
      <c r="E1" s="1" t="inlineStr">
        <is>
          <t>Count</t>
        </is>
      </c>
      <c r="F1" s="1" t="inlineStr">
        <is>
          <t>Topic 3</t>
        </is>
      </c>
      <c r="G1" s="1" t="inlineStr">
        <is>
          <t>Count</t>
        </is>
      </c>
      <c r="H1" s="1" t="inlineStr">
        <is>
          <t>Topic 4</t>
        </is>
      </c>
      <c r="I1" s="1" t="inlineStr">
        <is>
          <t>Count</t>
        </is>
      </c>
      <c r="J1" s="1" t="inlineStr">
        <is>
          <t>Topic 5</t>
        </is>
      </c>
      <c r="K1" s="1" t="inlineStr">
        <is>
          <t>Count</t>
        </is>
      </c>
    </row>
    <row r="2">
      <c r="A2" s="2" t="inlineStr">
        <is>
          <t>Harvard University</t>
        </is>
      </c>
      <c r="B2" s="3" t="inlineStr">
        <is>
          <t>Functional Brain Connectivity Studies</t>
        </is>
      </c>
      <c r="C2" s="4" t="n">
        <v>4046</v>
      </c>
      <c r="D2" s="3" t="inlineStr">
        <is>
          <t>Health Systems, Economic Evaluations, Quality of Life</t>
        </is>
      </c>
      <c r="E2" s="4" t="n">
        <v>3989</v>
      </c>
      <c r="F2" s="3" t="inlineStr">
        <is>
          <t>Cancer Genomics and Diagnostics</t>
        </is>
      </c>
      <c r="G2" s="4" t="n">
        <v>3400</v>
      </c>
      <c r="H2" s="3" t="inlineStr">
        <is>
          <t>Nutritional Studies and Diet</t>
        </is>
      </c>
      <c r="I2" s="4" t="n">
        <v>2966</v>
      </c>
      <c r="J2" s="3" t="inlineStr">
        <is>
          <t>Epigenetics and DNA Methylation</t>
        </is>
      </c>
      <c r="K2" s="4" t="n">
        <v>2951</v>
      </c>
    </row>
    <row r="3">
      <c r="A3" s="2" t="inlineStr">
        <is>
          <t>University of Michigan</t>
        </is>
      </c>
      <c r="B3" s="3" t="inlineStr">
        <is>
          <t>Inorganic Fluorides and Related Compounds</t>
        </is>
      </c>
      <c r="C3" s="4" t="n">
        <v>3052</v>
      </c>
      <c r="D3" s="3" t="inlineStr">
        <is>
          <t>Nuclear Physics and Applications</t>
        </is>
      </c>
      <c r="E3" s="4" t="n">
        <v>2807</v>
      </c>
      <c r="F3" s="3" t="inlineStr">
        <is>
          <t>Sensor Technology and Measurement Systems</t>
        </is>
      </c>
      <c r="G3" s="4" t="n">
        <v>2393</v>
      </c>
      <c r="H3" s="3" t="inlineStr">
        <is>
          <t>Health disparities and outcomes</t>
        </is>
      </c>
      <c r="I3" s="4" t="n">
        <v>1902</v>
      </c>
      <c r="J3" s="3" t="inlineStr">
        <is>
          <t>Contact Dermatitis and Allergies</t>
        </is>
      </c>
      <c r="K3" s="4" t="n">
        <v>1711</v>
      </c>
    </row>
    <row r="4">
      <c r="A4" s="2" t="inlineStr">
        <is>
          <t>Johns Hopkins University</t>
        </is>
      </c>
      <c r="B4" s="3" t="inlineStr">
        <is>
          <t>HIV/AIDS Research and Interventions</t>
        </is>
      </c>
      <c r="C4" s="4" t="n">
        <v>3522</v>
      </c>
      <c r="D4" s="3" t="inlineStr">
        <is>
          <t>Global Maternal and Child Health</t>
        </is>
      </c>
      <c r="E4" s="4" t="n">
        <v>2404</v>
      </c>
      <c r="F4" s="3" t="inlineStr">
        <is>
          <t>HIV, Drug Use, Sexual Risk</t>
        </is>
      </c>
      <c r="G4" s="4" t="n">
        <v>2127</v>
      </c>
      <c r="H4" s="3" t="inlineStr">
        <is>
          <t>Health Systems, Economic Evaluations, Quality of Life</t>
        </is>
      </c>
      <c r="I4" s="4" t="n">
        <v>2120</v>
      </c>
      <c r="J4" s="3" t="inlineStr">
        <is>
          <t>Cancer Genomics and Diagnostics</t>
        </is>
      </c>
      <c r="K4" s="4" t="n">
        <v>2029</v>
      </c>
    </row>
    <row r="5">
      <c r="A5" s="2" t="inlineStr">
        <is>
          <t>University of Washington</t>
        </is>
      </c>
      <c r="B5" s="3" t="inlineStr">
        <is>
          <t>HIV/AIDS Research and Interventions</t>
        </is>
      </c>
      <c r="C5" s="4" t="n">
        <v>2621</v>
      </c>
      <c r="D5" s="3" t="inlineStr">
        <is>
          <t>SARS-CoV-2 and COVID-19 Research</t>
        </is>
      </c>
      <c r="E5" s="4" t="n">
        <v>1655</v>
      </c>
      <c r="F5" s="3" t="inlineStr">
        <is>
          <t>Health Systems, Economic Evaluations, Quality of Life</t>
        </is>
      </c>
      <c r="G5" s="4" t="n">
        <v>1646</v>
      </c>
      <c r="H5" s="3" t="inlineStr">
        <is>
          <t>Air Quality and Health Impacts</t>
        </is>
      </c>
      <c r="I5" s="4" t="n">
        <v>1540</v>
      </c>
      <c r="J5" s="3" t="inlineStr">
        <is>
          <t>HIV, Drug Use, Sexual Risk</t>
        </is>
      </c>
      <c r="K5" s="4" t="n">
        <v>1410</v>
      </c>
    </row>
    <row r="6">
      <c r="A6" s="2" t="inlineStr">
        <is>
          <t>University of North Carolina at Chapel Hill</t>
        </is>
      </c>
      <c r="B6" s="3" t="inlineStr">
        <is>
          <t>HIV/AIDS Research and Interventions</t>
        </is>
      </c>
      <c r="C6" s="4" t="n">
        <v>3820</v>
      </c>
      <c r="D6" s="3" t="inlineStr">
        <is>
          <t>Obesity, Physical Activity, Diet</t>
        </is>
      </c>
      <c r="E6" s="4" t="n">
        <v>1985</v>
      </c>
      <c r="F6" s="3" t="inlineStr">
        <is>
          <t>Adolescent Sexual and Reproductive Health</t>
        </is>
      </c>
      <c r="G6" s="4" t="n">
        <v>1836</v>
      </c>
      <c r="H6" s="3" t="inlineStr">
        <is>
          <t>Health Systems, Economic Evaluations, Quality of Life</t>
        </is>
      </c>
      <c r="I6" s="4" t="n">
        <v>1736</v>
      </c>
      <c r="J6" s="3" t="inlineStr">
        <is>
          <t>HIV Research and Treatment</t>
        </is>
      </c>
      <c r="K6" s="4" t="n">
        <v>1733</v>
      </c>
    </row>
    <row r="7">
      <c r="A7" s="2" t="inlineStr">
        <is>
          <t>Stanford University</t>
        </is>
      </c>
      <c r="B7" s="3" t="inlineStr">
        <is>
          <t>Seismic Waves and Analysis</t>
        </is>
      </c>
      <c r="C7" s="4" t="n">
        <v>2757</v>
      </c>
      <c r="D7" s="3" t="inlineStr">
        <is>
          <t>Methane Hydrates and Related Phenomena</t>
        </is>
      </c>
      <c r="E7" s="4" t="n">
        <v>2543</v>
      </c>
      <c r="F7" s="3" t="inlineStr">
        <is>
          <t>CAR-T cell therapy research</t>
        </is>
      </c>
      <c r="G7" s="4" t="n">
        <v>1931</v>
      </c>
      <c r="H7" s="3" t="inlineStr">
        <is>
          <t>Cancer Genomics and Diagnostics</t>
        </is>
      </c>
      <c r="I7" s="4" t="n">
        <v>1856</v>
      </c>
      <c r="J7" s="3" t="inlineStr">
        <is>
          <t>Single-cell and spatial transcriptomics</t>
        </is>
      </c>
      <c r="K7" s="4" t="n">
        <v>1797</v>
      </c>
    </row>
    <row r="8">
      <c r="A8" s="2" t="inlineStr">
        <is>
          <t>Pennsylvania State University</t>
        </is>
      </c>
      <c r="B8" s="3" t="inlineStr">
        <is>
          <t>Child and Adolescent Psychosocial and Emotional Development</t>
        </is>
      </c>
      <c r="C8" s="4" t="n">
        <v>1185</v>
      </c>
      <c r="D8" s="3" t="inlineStr">
        <is>
          <t>Ferroelectric and Piezoelectric Materials</t>
        </is>
      </c>
      <c r="E8" s="4" t="n">
        <v>905</v>
      </c>
      <c r="F8" s="3" t="inlineStr">
        <is>
          <t>Gamma-ray bursts and supernovae</t>
        </is>
      </c>
      <c r="G8" s="4" t="n">
        <v>902</v>
      </c>
      <c r="H8" s="3" t="inlineStr">
        <is>
          <t>Plant and animal studies</t>
        </is>
      </c>
      <c r="I8" s="4" t="n">
        <v>868</v>
      </c>
      <c r="J8" s="3" t="inlineStr">
        <is>
          <t>Stellar, planetary, and galactic studies</t>
        </is>
      </c>
      <c r="K8" s="4" t="n">
        <v>833</v>
      </c>
    </row>
    <row r="9">
      <c r="A9" s="2" t="inlineStr">
        <is>
          <t>University of Pennsylvania</t>
        </is>
      </c>
      <c r="B9" s="3" t="inlineStr">
        <is>
          <t>CAR-T cell therapy research</t>
        </is>
      </c>
      <c r="C9" s="4" t="n">
        <v>2398</v>
      </c>
      <c r="D9" s="3" t="inlineStr">
        <is>
          <t>Functional Brain Connectivity Studies</t>
        </is>
      </c>
      <c r="E9" s="4" t="n">
        <v>1973</v>
      </c>
      <c r="F9" s="3" t="inlineStr">
        <is>
          <t>Contact Dermatitis and Allergies</t>
        </is>
      </c>
      <c r="G9" s="4" t="n">
        <v>1686</v>
      </c>
      <c r="H9" s="3" t="inlineStr">
        <is>
          <t>Health Systems, Economic Evaluations, Quality of Life</t>
        </is>
      </c>
      <c r="I9" s="4" t="n">
        <v>1611</v>
      </c>
      <c r="J9" s="3" t="inlineStr">
        <is>
          <t>Immune Cell Function and Interaction</t>
        </is>
      </c>
      <c r="K9" s="4" t="n">
        <v>1484</v>
      </c>
    </row>
    <row r="10">
      <c r="A10" s="2" t="inlineStr">
        <is>
          <t>Columbia University</t>
        </is>
      </c>
      <c r="B10" s="3" t="inlineStr">
        <is>
          <t>Climate variability and models</t>
        </is>
      </c>
      <c r="C10" s="4" t="n">
        <v>1972</v>
      </c>
      <c r="D10" s="3" t="inlineStr">
        <is>
          <t>HIV/AIDS Research and Interventions</t>
        </is>
      </c>
      <c r="E10" s="4" t="n">
        <v>1833</v>
      </c>
      <c r="F10" s="3" t="inlineStr">
        <is>
          <t>Neural dynamics and brain function</t>
        </is>
      </c>
      <c r="G10" s="4" t="n">
        <v>1616</v>
      </c>
      <c r="H10" s="3" t="inlineStr">
        <is>
          <t>Geology and Paleoclimatology Research</t>
        </is>
      </c>
      <c r="I10" s="4" t="n">
        <v>1364</v>
      </c>
      <c r="J10" s="3" t="inlineStr">
        <is>
          <t>Child and Adolescent Psychosocial and Emotional Development</t>
        </is>
      </c>
      <c r="K10" s="4" t="n">
        <v>1316</v>
      </c>
    </row>
    <row r="11">
      <c r="A11" s="2" t="inlineStr">
        <is>
          <t>Yale University</t>
        </is>
      </c>
      <c r="B11" s="3" t="inlineStr">
        <is>
          <t>Functional Brain Connectivity Studies</t>
        </is>
      </c>
      <c r="C11" s="4" t="n">
        <v>2219</v>
      </c>
      <c r="D11" s="3" t="inlineStr">
        <is>
          <t>Cancer Immunotherapy and Biomarkers</t>
        </is>
      </c>
      <c r="E11" s="4" t="n">
        <v>1549</v>
      </c>
      <c r="F11" s="3" t="inlineStr">
        <is>
          <t>Health Systems, Economic Evaluations, Quality of Life</t>
        </is>
      </c>
      <c r="G11" s="4" t="n">
        <v>1445</v>
      </c>
      <c r="H11" s="3" t="inlineStr">
        <is>
          <t>Child and Adolescent Psychosocial and Emotional Development</t>
        </is>
      </c>
      <c r="I11" s="4" t="n">
        <v>1391</v>
      </c>
      <c r="J11" s="3" t="inlineStr">
        <is>
          <t>HIV/AIDS Research and Interventions</t>
        </is>
      </c>
      <c r="K11" s="4" t="n">
        <v>1333</v>
      </c>
    </row>
    <row r="12">
      <c r="A12" s="2" t="inlineStr">
        <is>
          <t>New York University</t>
        </is>
      </c>
      <c r="B12" s="3" t="inlineStr">
        <is>
          <t>Neural dynamics and brain function</t>
        </is>
      </c>
      <c r="C12" s="4" t="n">
        <v>1748</v>
      </c>
      <c r="D12" s="3" t="inlineStr">
        <is>
          <t>Child and Adolescent Psychosocial and Emotional Development</t>
        </is>
      </c>
      <c r="E12" s="4" t="n">
        <v>955</v>
      </c>
      <c r="F12" s="3" t="inlineStr">
        <is>
          <t>Health disparities and outcomes</t>
        </is>
      </c>
      <c r="G12" s="4" t="n">
        <v>949</v>
      </c>
      <c r="H12" s="3" t="inlineStr">
        <is>
          <t>Functional Brain Connectivity Studies</t>
        </is>
      </c>
      <c r="I12" s="4" t="n">
        <v>939</v>
      </c>
      <c r="J12" s="3" t="inlineStr">
        <is>
          <t>Visual perception and processing mechanisms</t>
        </is>
      </c>
      <c r="K12" s="4" t="n">
        <v>872</v>
      </c>
    </row>
    <row r="13">
      <c r="A13" s="2" t="inlineStr">
        <is>
          <t>Arizona State University</t>
        </is>
      </c>
      <c r="B13" s="3" t="inlineStr">
        <is>
          <t>Astro and Planetary Science</t>
        </is>
      </c>
      <c r="C13" s="4" t="n">
        <v>1206</v>
      </c>
      <c r="D13" s="3" t="inlineStr">
        <is>
          <t>Planetary Science and Exploration</t>
        </is>
      </c>
      <c r="E13" s="4" t="n">
        <v>1013</v>
      </c>
      <c r="F13" s="3" t="inlineStr">
        <is>
          <t>Child and Adolescent Psychosocial and Emotional Development</t>
        </is>
      </c>
      <c r="G13" s="4" t="n">
        <v>829</v>
      </c>
      <c r="H13" s="3" t="inlineStr">
        <is>
          <t>Stellar, planetary, and galactic studies</t>
        </is>
      </c>
      <c r="I13" s="4" t="n">
        <v>707</v>
      </c>
      <c r="J13" s="3" t="inlineStr">
        <is>
          <t>Plant and animal studies</t>
        </is>
      </c>
      <c r="K13" s="4" t="n">
        <v>616</v>
      </c>
    </row>
    <row r="14">
      <c r="A14" s="2" t="inlineStr">
        <is>
          <t>University of California, San Francisco</t>
        </is>
      </c>
      <c r="B14" s="3" t="inlineStr">
        <is>
          <t>HIV/AIDS Research and Interventions</t>
        </is>
      </c>
      <c r="C14" s="4" t="n">
        <v>2796</v>
      </c>
      <c r="D14" s="3" t="inlineStr">
        <is>
          <t>Dementia and Cognitive Impairment Research</t>
        </is>
      </c>
      <c r="E14" s="4" t="n">
        <v>2376</v>
      </c>
      <c r="F14" s="3" t="inlineStr">
        <is>
          <t>Glioma Diagnosis and Treatment</t>
        </is>
      </c>
      <c r="G14" s="4" t="n">
        <v>1879</v>
      </c>
      <c r="H14" s="3" t="inlineStr">
        <is>
          <t>Cancer Genomics and Diagnostics</t>
        </is>
      </c>
      <c r="I14" s="4" t="n">
        <v>1613</v>
      </c>
      <c r="J14" s="3" t="inlineStr">
        <is>
          <t>Alzheimer's disease research and treatments</t>
        </is>
      </c>
      <c r="K14" s="4" t="n">
        <v>1601</v>
      </c>
    </row>
    <row r="15">
      <c r="A15" s="2" t="inlineStr">
        <is>
          <t>Cornell University</t>
        </is>
      </c>
      <c r="B15" s="3" t="inlineStr">
        <is>
          <t>Pulsars and Gravitational Waves Research</t>
        </is>
      </c>
      <c r="C15" s="4" t="n">
        <v>2177</v>
      </c>
      <c r="D15" s="3" t="inlineStr">
        <is>
          <t>Cancer Genomics and Diagnostics</t>
        </is>
      </c>
      <c r="E15" s="4" t="n">
        <v>1974</v>
      </c>
      <c r="F15" s="3" t="inlineStr">
        <is>
          <t>Cancer Immunotherapy and Biomarkers</t>
        </is>
      </c>
      <c r="G15" s="4" t="n">
        <v>1971</v>
      </c>
      <c r="H15" s="3" t="inlineStr">
        <is>
          <t>Astrophysical Phenomena and Observations</t>
        </is>
      </c>
      <c r="I15" s="4" t="n">
        <v>1610</v>
      </c>
      <c r="J15" s="3" t="inlineStr">
        <is>
          <t>CAR-T cell therapy research</t>
        </is>
      </c>
      <c r="K15" s="4" t="n">
        <v>1495</v>
      </c>
    </row>
    <row r="16">
      <c r="A16" s="2" t="inlineStr">
        <is>
          <t>University of Florida</t>
        </is>
      </c>
      <c r="B16" s="3" t="inlineStr">
        <is>
          <t>Species Distribution and Climate Change</t>
        </is>
      </c>
      <c r="C16" s="4" t="n">
        <v>2177</v>
      </c>
      <c r="D16" s="3" t="inlineStr">
        <is>
          <t>Plant and animal studies</t>
        </is>
      </c>
      <c r="E16" s="4" t="n">
        <v>1823</v>
      </c>
      <c r="F16" s="3" t="inlineStr">
        <is>
          <t>Ecology and Vegetation Dynamics Studies</t>
        </is>
      </c>
      <c r="G16" s="4" t="n">
        <v>1175</v>
      </c>
      <c r="H16" s="3" t="inlineStr">
        <is>
          <t>Plant Pathogens and Fungal Diseases</t>
        </is>
      </c>
      <c r="I16" s="4" t="n">
        <v>1167</v>
      </c>
      <c r="J16" s="3" t="inlineStr">
        <is>
          <t>Insect-Plant Interactions and Control</t>
        </is>
      </c>
      <c r="K16" s="4" t="n">
        <v>1109</v>
      </c>
    </row>
    <row r="17">
      <c r="A17" s="2" t="inlineStr">
        <is>
          <t>The Ohio State University</t>
        </is>
      </c>
      <c r="B17" s="3" t="inlineStr">
        <is>
          <t>Stellar, planetary, and galactic studies</t>
        </is>
      </c>
      <c r="C17" s="4" t="n">
        <v>1160</v>
      </c>
      <c r="D17" s="3" t="inlineStr">
        <is>
          <t>Galaxies: Formation, Evolution, Phenomena</t>
        </is>
      </c>
      <c r="E17" s="4" t="n">
        <v>1066</v>
      </c>
      <c r="F17" s="3" t="inlineStr">
        <is>
          <t>Lymphoma Diagnosis and Treatment</t>
        </is>
      </c>
      <c r="G17" s="4" t="n">
        <v>1038</v>
      </c>
      <c r="H17" s="3" t="inlineStr">
        <is>
          <t>Chronic Lymphocytic Leukemia Research</t>
        </is>
      </c>
      <c r="I17" s="4" t="n">
        <v>1017</v>
      </c>
      <c r="J17" s="3" t="inlineStr">
        <is>
          <t>CAR-T cell therapy research</t>
        </is>
      </c>
      <c r="K17" s="4" t="n">
        <v>995</v>
      </c>
    </row>
    <row r="18">
      <c r="A18" s="2" t="inlineStr">
        <is>
          <t>University of Minnesota</t>
        </is>
      </c>
      <c r="B18" s="3" t="inlineStr">
        <is>
          <t>Functional Brain Connectivity Studies</t>
        </is>
      </c>
      <c r="C18" s="4" t="n">
        <v>1109</v>
      </c>
      <c r="D18" s="3" t="inlineStr">
        <is>
          <t>Obesity, Physical Activity, Diet</t>
        </is>
      </c>
      <c r="E18" s="4" t="n">
        <v>925</v>
      </c>
      <c r="F18" s="3" t="inlineStr">
        <is>
          <t>Ecology and Vegetation Dynamics Studies</t>
        </is>
      </c>
      <c r="G18" s="4" t="n">
        <v>918</v>
      </c>
      <c r="H18" s="3" t="inlineStr">
        <is>
          <t>Immune Cell Function and Interaction</t>
        </is>
      </c>
      <c r="I18" s="4" t="n">
        <v>904</v>
      </c>
      <c r="J18" s="3" t="inlineStr">
        <is>
          <t>Plant and animal studies</t>
        </is>
      </c>
      <c r="K18" s="4" t="n">
        <v>835</v>
      </c>
    </row>
    <row r="19">
      <c r="A19" s="2" t="inlineStr">
        <is>
          <t>Michigan State University</t>
        </is>
      </c>
      <c r="B19" s="3" t="inlineStr">
        <is>
          <t>Methane Hydrates and Related Phenomena</t>
        </is>
      </c>
      <c r="C19" s="4" t="n">
        <v>6921</v>
      </c>
      <c r="D19" s="3" t="inlineStr">
        <is>
          <t>Ionosphere and magnetosphere dynamics</t>
        </is>
      </c>
      <c r="E19" s="4" t="n">
        <v>5965</v>
      </c>
      <c r="F19" s="3" t="inlineStr">
        <is>
          <t>Geophysics and Gravity Measurements</t>
        </is>
      </c>
      <c r="G19" s="4" t="n">
        <v>5704</v>
      </c>
      <c r="H19" s="3" t="inlineStr">
        <is>
          <t>Seismic Waves and Analysis</t>
        </is>
      </c>
      <c r="I19" s="4" t="n">
        <v>1681</v>
      </c>
      <c r="J19" s="3" t="inlineStr">
        <is>
          <t>Earthquake Detection and Analysis</t>
        </is>
      </c>
      <c r="K19" s="4" t="n">
        <v>1433</v>
      </c>
    </row>
    <row r="20">
      <c r="A20" s="2" t="inlineStr">
        <is>
          <t>University of Wisconsin–Madison</t>
        </is>
      </c>
      <c r="B20" s="3" t="inlineStr">
        <is>
          <t>Methane Hydrates and Related Phenomena</t>
        </is>
      </c>
      <c r="C20" s="4" t="n">
        <v>1377</v>
      </c>
      <c r="D20" s="3" t="inlineStr">
        <is>
          <t>Dementia and Cognitive Impairment Research</t>
        </is>
      </c>
      <c r="E20" s="4" t="n">
        <v>1244</v>
      </c>
      <c r="F20" s="3" t="inlineStr">
        <is>
          <t>Ionosphere and magnetosphere dynamics</t>
        </is>
      </c>
      <c r="G20" s="4" t="n">
        <v>880</v>
      </c>
      <c r="H20" s="3" t="inlineStr">
        <is>
          <t>Alzheimer's disease research and treatments</t>
        </is>
      </c>
      <c r="I20" s="4" t="n">
        <v>838</v>
      </c>
      <c r="J20" s="3" t="inlineStr">
        <is>
          <t>Genetic and phenotypic traits in livestock</t>
        </is>
      </c>
      <c r="K20" s="4" t="n">
        <v>788</v>
      </c>
    </row>
    <row r="21">
      <c r="A21" s="2" t="inlineStr">
        <is>
          <t>University of California, Los Angeles</t>
        </is>
      </c>
      <c r="B21" s="3" t="inlineStr">
        <is>
          <t>Ionosphere and magnetosphere dynamics</t>
        </is>
      </c>
      <c r="C21" s="4" t="n">
        <v>4090</v>
      </c>
      <c r="D21" s="3" t="inlineStr">
        <is>
          <t>Methane Hydrates and Related Phenomena</t>
        </is>
      </c>
      <c r="E21" s="4" t="n">
        <v>3493</v>
      </c>
      <c r="F21" s="3" t="inlineStr">
        <is>
          <t>Geophysics and Gravity Measurements</t>
        </is>
      </c>
      <c r="G21" s="4" t="n">
        <v>2230</v>
      </c>
      <c r="H21" s="3" t="inlineStr">
        <is>
          <t>Solar and Space Plasma Dynamics</t>
        </is>
      </c>
      <c r="I21" s="4" t="n">
        <v>1787</v>
      </c>
      <c r="J21" s="3" t="inlineStr">
        <is>
          <t>Seismic Waves and Analysis</t>
        </is>
      </c>
      <c r="K21" s="4" t="n">
        <v>1776</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5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0" customWidth="1" min="1" max="1"/>
    <col width="36" customWidth="1" min="2" max="2"/>
    <col width="13" customWidth="1" min="3" max="3"/>
    <col width="47" customWidth="1" min="4" max="4"/>
    <col width="50" customWidth="1" min="5" max="5"/>
  </cols>
  <sheetData>
    <row r="1">
      <c r="A1" s="1" t="inlineStr">
        <is>
          <t>Title</t>
        </is>
      </c>
      <c r="B1" s="1" t="inlineStr">
        <is>
          <t>Source</t>
        </is>
      </c>
      <c r="C1" s="1" t="inlineStr">
        <is>
          <t>Ingest Date</t>
        </is>
      </c>
      <c r="D1" s="1" t="inlineStr">
        <is>
          <t>DOI</t>
        </is>
      </c>
      <c r="E1" s="1" t="inlineStr">
        <is>
          <t>Affiliations</t>
        </is>
      </c>
    </row>
    <row r="2">
      <c r="A2" s="2" t="inlineStr">
        <is>
          <t>A mechanics-based approach to realize high-force capacity electroadhesives for r</t>
        </is>
      </c>
      <c r="B2" s="3" t="inlineStr">
        <is>
          <t>levine_abo2179_database</t>
        </is>
      </c>
      <c r="C2" s="3" t="inlineStr">
        <is>
          <t>2022-12-01</t>
        </is>
      </c>
      <c r="D2" s="3" t="inlineStr">
        <is>
          <t>10.1126/scirobotics.abo2179</t>
        </is>
      </c>
      <c r="E2" s="3" t="inlineStr">
        <is>
          <t>University of Pennsylvania</t>
        </is>
      </c>
    </row>
    <row r="3">
      <c r="A3" s="2" t="inlineStr">
        <is>
          <t xml:space="preserve">The role of electron correlations in the electronic structure of putative Chern </t>
        </is>
      </c>
      <c r="B3" s="3" t="inlineStr">
        <is>
          <t>annaberdiyev_role_electron_methods</t>
        </is>
      </c>
      <c r="C3" s="3" t="inlineStr">
        <is>
          <t>2023-01-06</t>
        </is>
      </c>
      <c r="D3" s="3" t="inlineStr"/>
      <c r="E3" s="3" t="inlineStr">
        <is>
          <t>Oak Ridge National Laboratory, North Carolina State University</t>
        </is>
      </c>
    </row>
    <row r="4">
      <c r="A4" s="2" t="inlineStr">
        <is>
          <t>JARVIS - Joint Automated Repository for Various Integrated Simulations</t>
        </is>
      </c>
      <c r="B4" s="3" t="inlineStr">
        <is>
          <t>jarvis</t>
        </is>
      </c>
      <c r="C4" s="3" t="inlineStr">
        <is>
          <t>2018-11-28</t>
        </is>
      </c>
      <c r="D4" s="3" t="inlineStr">
        <is>
          <t>10.1038/s41598-017-05402-0</t>
        </is>
      </c>
      <c r="E4" s="3" t="inlineStr">
        <is>
          <t>National Institute of Standards and Technology</t>
        </is>
      </c>
    </row>
    <row r="5">
      <c r="A5" s="2" t="inlineStr">
        <is>
          <t>Solid and Liquid in Ultra Small Coexistence with Hovering Interfaces</t>
        </is>
      </c>
      <c r="B5" s="3" t="inlineStr">
        <is>
          <t>sluschi</t>
        </is>
      </c>
      <c r="C5" s="3" t="inlineStr">
        <is>
          <t>2018-11-06</t>
        </is>
      </c>
      <c r="D5" s="3" t="inlineStr">
        <is>
          <t>https://doi.org/10.1016/j.calphad.2015.12.003</t>
        </is>
      </c>
      <c r="E5" s="3" t="inlineStr">
        <is>
          <t>Brown University</t>
        </is>
      </c>
    </row>
    <row r="6">
      <c r="A6" s="2" t="inlineStr">
        <is>
          <t>Ta-V Thermodynamic modeling of Laves phases</t>
        </is>
      </c>
      <c r="B6" s="3" t="inlineStr">
        <is>
          <t>mdr_item_542</t>
        </is>
      </c>
      <c r="C6" s="3" t="inlineStr">
        <is>
          <t>2018-11-15</t>
        </is>
      </c>
      <c r="D6" s="3" t="inlineStr"/>
      <c r="E6" s="3" t="inlineStr">
        <is>
          <t>Department of Chemistry, Faculty of Science, Masaryk University, Brno, Czech Republic, Institute of Physical Chemistry, University of Vienna, Vienna, Austria, Institute of Physics of Materials, Academy of Sciences of the Czech Republic, Brno, Czech Republic, Henyang National Laboratory for Materials Science, Institute of Metal Research, Chinese Academy of Sciences, Shenyang, China</t>
        </is>
      </c>
    </row>
    <row r="7">
      <c r="A7" s="2" t="inlineStr">
        <is>
          <t>Experimental Investigation and Thermodynamic Modeling of the Co-Rich Region in t</t>
        </is>
      </c>
      <c r="B7" s="3" t="inlineStr">
        <is>
          <t>mdr_item_1485</t>
        </is>
      </c>
      <c r="C7" s="3" t="inlineStr">
        <is>
          <t>2018-11-15</t>
        </is>
      </c>
      <c r="D7" s="3" t="inlineStr"/>
      <c r="E7" s="3" t="inlineStr">
        <is>
          <t>University of California, Santa Barbara, CA, USA, University of Michigan, AnnArbor, MI, USA</t>
        </is>
      </c>
    </row>
    <row r="8">
      <c r="A8" s="2" t="inlineStr">
        <is>
          <t>Thermodynamics of rare earth sesquioxides</t>
        </is>
      </c>
      <c r="B8" s="3" t="inlineStr">
        <is>
          <t>mdr_item_1530</t>
        </is>
      </c>
      <c r="C8" s="3" t="inlineStr">
        <is>
          <t>2018-11-15</t>
        </is>
      </c>
      <c r="D8" s="3" t="inlineStr"/>
      <c r="E8" s="3" t="inlineStr">
        <is>
          <t>Max-Planck Institut fur Metallforschung, Institut fur Nichtmetallische Anorganische Materialien, Universitat Stuttgart, Heisenbergstr. 3, D-70569 Stuttgart, Germany</t>
        </is>
      </c>
    </row>
    <row r="9">
      <c r="A9" s="2" t="inlineStr">
        <is>
          <t>Ag-Al Functional Description</t>
        </is>
      </c>
      <c r="B9" s="3" t="inlineStr">
        <is>
          <t>mdr_item_519</t>
        </is>
      </c>
      <c r="C9" s="3" t="inlineStr">
        <is>
          <t>2018-09-17</t>
        </is>
      </c>
      <c r="D9" s="3" t="inlineStr"/>
      <c r="E9" s="3" t="inlineStr">
        <is>
          <t>School of Materials Science and Engineering, University of Science and Technology Beijing, China</t>
        </is>
      </c>
    </row>
    <row r="10">
      <c r="A10" s="2" t="inlineStr">
        <is>
          <t xml:space="preserve">Facilitating the selection and creation of accurate interatomic potentials with </t>
        </is>
      </c>
      <c r="B10" s="3" t="inlineStr">
        <is>
          <t>mdr_item_269</t>
        </is>
      </c>
      <c r="C10" s="3" t="inlineStr">
        <is>
          <t>2018-11-15</t>
        </is>
      </c>
      <c r="D10" s="3" t="inlineStr"/>
      <c r="E10" s="3" t="inlineStr">
        <is>
          <t>National Institute of Standards and Technology</t>
        </is>
      </c>
    </row>
    <row r="11">
      <c r="A11" s="2" t="inlineStr">
        <is>
          <t>EBSD results</t>
        </is>
      </c>
      <c r="B11" s="3" t="inlineStr">
        <is>
          <t>mdr_item_1438</t>
        </is>
      </c>
      <c r="C11" s="3" t="inlineStr">
        <is>
          <t>2018-11-15</t>
        </is>
      </c>
      <c r="D11" s="3" t="inlineStr"/>
      <c r="E11" s="3" t="inlineStr"/>
    </row>
    <row r="12">
      <c r="A12" s="2" t="inlineStr">
        <is>
          <t>Microstructural Development and Mechanical Properties of Interrupted Aged Al-Mg-</t>
        </is>
      </c>
      <c r="B12" s="3" t="inlineStr">
        <is>
          <t>mdr_item_639</t>
        </is>
      </c>
      <c r="C12" s="3" t="inlineStr">
        <is>
          <t>2018-11-15</t>
        </is>
      </c>
      <c r="D12" s="3" t="inlineStr"/>
      <c r="E12" s="3" t="inlineStr"/>
    </row>
    <row r="13">
      <c r="A13" s="2" t="inlineStr">
        <is>
          <t>Cu-Sn-Ti Experimental investigation and thermodynamic assessment</t>
        </is>
      </c>
      <c r="B13" s="3" t="inlineStr">
        <is>
          <t>mdr_item_543</t>
        </is>
      </c>
      <c r="C13" s="3" t="inlineStr">
        <is>
          <t>2018-11-15</t>
        </is>
      </c>
      <c r="D13" s="3" t="inlineStr"/>
      <c r="E13" s="3" t="inlineStr">
        <is>
          <t>Laboratory of Metal Physics and Technology, Department of Materials, ETH Zurich, Switzerland, Research Institute for Precious Metals and Metal Chemistry (FEM), Schwäbisch-Gmünd, Germany, ABB Switzerland Ltd. Corporate Research, Baden-Daettwil, Switzerland, EMPA, Swiss Federal Laboratories for Materials Science and Technology, Laboratory for Joining and Interface Technology, Dübendorf, Switzerland</t>
        </is>
      </c>
    </row>
    <row r="14">
      <c r="A14" s="2" t="inlineStr">
        <is>
          <t>Mg–Nd, Mg–Zn, and Mg–Nd–Zn Thermodynamic description on the miscibility gap</t>
        </is>
      </c>
      <c r="B14" s="3" t="inlineStr">
        <is>
          <t>mdr_item_539</t>
        </is>
      </c>
      <c r="C14" s="3" t="inlineStr">
        <is>
          <t>2018-11-15</t>
        </is>
      </c>
      <c r="D14" s="3" t="inlineStr"/>
      <c r="E14" s="3" t="inlineStr">
        <is>
          <t>The 3rd Department, Institute of Chemical Defense of P.L.A., Beijing, China, School of Materials Science and Engineering, University of Science and Technology Beijing, China</t>
        </is>
      </c>
    </row>
    <row r="15">
      <c r="A15" s="2" t="inlineStr">
        <is>
          <t>Cr-Re Ab initio and thermodynamic study</t>
        </is>
      </c>
      <c r="B15" s="3" t="inlineStr">
        <is>
          <t>mdr_item_538</t>
        </is>
      </c>
      <c r="C15" s="3" t="inlineStr">
        <is>
          <t>2018-11-15</t>
        </is>
      </c>
      <c r="D15" s="3" t="inlineStr"/>
      <c r="E15" s="3" t="inlineStr">
        <is>
          <t>School of Physics, University of Sydney, Sydney, Australia, National Institute for Materials Science (NIMS), Tsukuba, Japan</t>
        </is>
      </c>
    </row>
    <row r="16">
      <c r="A16" s="2" t="inlineStr">
        <is>
          <t>The American Mineralogist Crystal Structure Database</t>
        </is>
      </c>
      <c r="B16" s="3" t="inlineStr">
        <is>
          <t>amcs</t>
        </is>
      </c>
      <c r="C16" s="3" t="inlineStr">
        <is>
          <t>2018-11-30</t>
        </is>
      </c>
      <c r="D16" s="3" t="inlineStr"/>
      <c r="E16" s="3" t="inlineStr">
        <is>
          <t>University of Arizona</t>
        </is>
      </c>
    </row>
    <row r="17">
      <c r="A17" s="2" t="inlineStr">
        <is>
          <t>Cr Self-Diffusion Askill and Tomlin 1965</t>
        </is>
      </c>
      <c r="B17" s="3" t="inlineStr">
        <is>
          <t>mdr_item_487</t>
        </is>
      </c>
      <c r="C17" s="3" t="inlineStr">
        <is>
          <t>2018-11-15</t>
        </is>
      </c>
      <c r="D17" s="3" t="inlineStr"/>
      <c r="E17" s="3" t="inlineStr">
        <is>
          <t>Department of Physics, University of Reading, Berkshire, England</t>
        </is>
      </c>
    </row>
    <row r="18">
      <c r="A18" s="2" t="inlineStr">
        <is>
          <t>Urban GHG Workshop</t>
        </is>
      </c>
      <c r="B18" s="3" t="inlineStr">
        <is>
          <t>mdr_item_1422</t>
        </is>
      </c>
      <c r="C18" s="3" t="inlineStr">
        <is>
          <t>2018-11-15</t>
        </is>
      </c>
      <c r="D18" s="3" t="inlineStr"/>
      <c r="E18" s="3" t="inlineStr">
        <is>
          <t>NIST</t>
        </is>
      </c>
    </row>
    <row r="19">
      <c r="A19" s="2" t="inlineStr">
        <is>
          <t>First principles phase diagram calculations for the wurtzite-structure systems A</t>
        </is>
      </c>
      <c r="B19" s="3" t="inlineStr">
        <is>
          <t>mdr_item_232</t>
        </is>
      </c>
      <c r="C19" s="3" t="inlineStr">
        <is>
          <t>2018-11-15</t>
        </is>
      </c>
      <c r="D19" s="3" t="inlineStr"/>
      <c r="E19" s="3" t="inlineStr">
        <is>
          <t>Brown University, NIST</t>
        </is>
      </c>
    </row>
    <row r="20">
      <c r="A20" s="2" t="inlineStr">
        <is>
          <t>2015-07-09 QP980-RD-1 Diffraction Data</t>
        </is>
      </c>
      <c r="B20" s="3" t="inlineStr">
        <is>
          <t>mdr_item_1363</t>
        </is>
      </c>
      <c r="C20" s="3" t="inlineStr">
        <is>
          <t>2018-11-15</t>
        </is>
      </c>
      <c r="D20" s="3" t="inlineStr"/>
      <c r="E20" s="3" t="inlineStr"/>
    </row>
    <row r="21">
      <c r="A21" s="2" t="inlineStr">
        <is>
          <t>Theory and Application of Time-Temperature Parameters</t>
        </is>
      </c>
      <c r="B21" s="3" t="inlineStr">
        <is>
          <t>mdr_item_803</t>
        </is>
      </c>
      <c r="C21" s="3" t="inlineStr">
        <is>
          <t>2018-11-15</t>
        </is>
      </c>
      <c r="D21" s="3" t="inlineStr"/>
      <c r="E21" s="3" t="inlineStr"/>
    </row>
    <row r="22">
      <c r="A22" s="2" t="inlineStr">
        <is>
          <t>RbBr–TbBr3 Thermodynamic investigation</t>
        </is>
      </c>
      <c r="B22" s="3" t="inlineStr">
        <is>
          <t>mdr_item_528</t>
        </is>
      </c>
      <c r="C22" s="3" t="inlineStr">
        <is>
          <t>2018-09-17</t>
        </is>
      </c>
      <c r="D22" s="3" t="inlineStr"/>
      <c r="E22" s="3" t="inlineStr">
        <is>
          <t>Institute of Huizhou PR China, Science Center for Phase Diagrams &amp; Materials Design and Manufacture, Central South University, Changsha, China, Ecole polytechnique, Mecanique Energetique, Marseille France, State Key Laboratory of Powder Metallurgy, Central South University, Changsha China</t>
        </is>
      </c>
    </row>
    <row r="23">
      <c r="A23" s="2" t="inlineStr">
        <is>
          <t>Al-Cu Symmetric/Asymmetric Tilt Grain Boundary Dataset</t>
        </is>
      </c>
      <c r="B23" s="3" t="inlineStr">
        <is>
          <t>mdr_item_650</t>
        </is>
      </c>
      <c r="C23" s="3" t="inlineStr">
        <is>
          <t>2018-11-15</t>
        </is>
      </c>
      <c r="D23" s="3" t="inlineStr"/>
      <c r="E23" s="3" t="inlineStr">
        <is>
          <t>U.S. Army Research Laboratory, Aberdeen Proving Ground, MD 21005, USA, Georgia Institute of Technology, Atlanta, GA USA</t>
        </is>
      </c>
    </row>
    <row r="24">
      <c r="A24" s="2" t="inlineStr">
        <is>
          <t xml:space="preserve">Modeling the Influence of Cooling Rate on the Precipitate Evolution in Al-Mg-Si </t>
        </is>
      </c>
      <c r="B24" s="3" t="inlineStr">
        <is>
          <t>mdr_item_870</t>
        </is>
      </c>
      <c r="C24" s="3" t="inlineStr">
        <is>
          <t>2018-11-15</t>
        </is>
      </c>
      <c r="D24" s="3" t="inlineStr"/>
      <c r="E24" s="3" t="inlineStr">
        <is>
          <t>Christian Doppler Laboratory “Early Stages of Precipitation”, Institute of Materials Science and
Technology, Vienna University of Technology, Vienna, Austria, Institute for Materials Science and Welding, Graz University of Technology, Graz, Austria, Institute of Materials Science and Technology, Vienna University of Technology, Vienna,
Austria, Materials Center Leoben Forschung GmbH, Leoben, Austria</t>
        </is>
      </c>
    </row>
    <row r="25">
      <c r="A25" s="2" t="inlineStr">
        <is>
          <t>Study of Si self-diffusion by nuclear techniques</t>
        </is>
      </c>
      <c r="B25" s="3" t="inlineStr">
        <is>
          <t>mdr_item_503</t>
        </is>
      </c>
      <c r="C25" s="3" t="inlineStr">
        <is>
          <t>2018-11-15</t>
        </is>
      </c>
      <c r="D25" s="3" t="inlineStr"/>
      <c r="E25" s="3" t="inlineStr">
        <is>
          <t>Max-Planck-Institut für Kernphysik, D-6900 Heidelberg, Fed. Rep. Germany</t>
        </is>
      </c>
    </row>
    <row r="26">
      <c r="A26" s="2" t="inlineStr">
        <is>
          <t>Cu–Pb–Zn Thermodynamic description</t>
        </is>
      </c>
      <c r="B26" s="3" t="inlineStr">
        <is>
          <t>mdr_item_530</t>
        </is>
      </c>
      <c r="C26" s="3" t="inlineStr">
        <is>
          <t>2018-11-15</t>
        </is>
      </c>
      <c r="D26" s="3" t="inlineStr"/>
      <c r="E26" s="3" t="inlineStr">
        <is>
          <t>University of Plovdiv, Faculty of Chemistry, Plovdiv, Bulgaria, Laboratory of Metallurgy, HUT, Finland</t>
        </is>
      </c>
    </row>
    <row r="27">
      <c r="A27" s="2" t="inlineStr">
        <is>
          <t>Mn-Ni-Si</t>
        </is>
      </c>
      <c r="B27" s="3" t="inlineStr">
        <is>
          <t>mdr_item_560</t>
        </is>
      </c>
      <c r="C27" s="3" t="inlineStr">
        <is>
          <t>2018-09-17</t>
        </is>
      </c>
      <c r="D27" s="3" t="inlineStr"/>
      <c r="E27" s="3" t="inlineStr">
        <is>
          <t>School of Materials Science and Engineering, Guangxi University, Nanning, Guangxi, China, State Key Laboratory of Powder Metallurgy, Central South University, Changsha China</t>
        </is>
      </c>
    </row>
    <row r="28">
      <c r="A28" s="2" t="inlineStr">
        <is>
          <t>NanoRelease Weathering NRC Canada - EDX analysis of EPA Athens samples</t>
        </is>
      </c>
      <c r="B28" s="3" t="inlineStr">
        <is>
          <t>mdr_item_1456</t>
        </is>
      </c>
      <c r="C28" s="3" t="inlineStr">
        <is>
          <t>2018-11-15</t>
        </is>
      </c>
      <c r="D28" s="3" t="inlineStr"/>
      <c r="E28" s="3" t="inlineStr">
        <is>
          <t>NRC Canada</t>
        </is>
      </c>
    </row>
    <row r="29">
      <c r="A29" s="2" t="inlineStr">
        <is>
          <t>Aluminum Foundry Products</t>
        </is>
      </c>
      <c r="B29" s="3" t="inlineStr">
        <is>
          <t>mdr_item_794</t>
        </is>
      </c>
      <c r="C29" s="3" t="inlineStr">
        <is>
          <t>2018-11-15</t>
        </is>
      </c>
      <c r="D29" s="3" t="inlineStr"/>
      <c r="E29" s="3" t="inlineStr"/>
    </row>
    <row r="30">
      <c r="A30" s="2" t="inlineStr">
        <is>
          <t>Synthesis and Processing of MMC</t>
        </is>
      </c>
      <c r="B30" s="3" t="inlineStr">
        <is>
          <t>mdr_item_801</t>
        </is>
      </c>
      <c r="C30" s="3" t="inlineStr">
        <is>
          <t>2018-11-15</t>
        </is>
      </c>
      <c r="D30" s="3" t="inlineStr"/>
      <c r="E30" s="3" t="inlineStr"/>
    </row>
    <row r="31">
      <c r="A31" s="2" t="inlineStr">
        <is>
          <t>Mg–Si–Zn Experimental investigation and thermodynamic modeling</t>
        </is>
      </c>
      <c r="B31" s="3" t="inlineStr">
        <is>
          <t>mdr_item_551</t>
        </is>
      </c>
      <c r="C31" s="3" t="inlineStr">
        <is>
          <t>2018-11-15</t>
        </is>
      </c>
      <c r="D31" s="3" t="inlineStr"/>
      <c r="E31" s="3" t="inlineStr">
        <is>
          <t>State Key Laboratory of High Performance Ceramics and Superfine Microstructure, Shanghai Institute of Ceramics, Chinese Academy of Sciences, Shanghai, China, Science Center for Phase Diagrams &amp; Materials Design and Manufacture, Central South University, Changsha, China, State Key Laboratory of Powder Metallurgy, Central South University, Changsha China</t>
        </is>
      </c>
    </row>
    <row r="32">
      <c r="A32" s="2" t="inlineStr">
        <is>
          <t>Al Impurity Diffusion in Mg</t>
        </is>
      </c>
      <c r="B32" s="3" t="inlineStr">
        <is>
          <t>mdr_item_479</t>
        </is>
      </c>
      <c r="C32" s="3" t="inlineStr">
        <is>
          <t>2018-09-18</t>
        </is>
      </c>
      <c r="D32" s="3" t="inlineStr"/>
      <c r="E32" s="3" t="inlineStr">
        <is>
          <t>University of Central Florida, Orlando, FL, Oakridge National Laboratory, Oakridge, TN</t>
        </is>
      </c>
    </row>
    <row r="33">
      <c r="A33" s="2" t="inlineStr">
        <is>
          <t>PbTiO3: Dipole moment of a Pb-O vacancy pair</t>
        </is>
      </c>
      <c r="B33" s="3" t="inlineStr">
        <is>
          <t>mdr_item_143</t>
        </is>
      </c>
      <c r="C33" s="3" t="inlineStr">
        <is>
          <t>2018-11-15</t>
        </is>
      </c>
      <c r="D33" s="3" t="inlineStr"/>
      <c r="E33" s="3" t="inlineStr">
        <is>
          <t>Materials Science and Engineering Laboratory, Ceramics Division National Institute of Standards and Technology, Gaithersburg, MD USA</t>
        </is>
      </c>
    </row>
    <row r="34">
      <c r="A34" s="2" t="inlineStr">
        <is>
          <t>Al Self-diffusion, Beyeler 1968</t>
        </is>
      </c>
      <c r="B34" s="3" t="inlineStr">
        <is>
          <t>mdr_item_499</t>
        </is>
      </c>
      <c r="C34" s="3" t="inlineStr">
        <is>
          <t>2018-11-15</t>
        </is>
      </c>
      <c r="D34" s="3" t="inlineStr"/>
      <c r="E34" s="3" t="inlineStr">
        <is>
          <t>Département de Métallurgie, Centre d'Études Nucléaires de Saclay</t>
        </is>
      </c>
    </row>
    <row r="35">
      <c r="A35" s="2" t="inlineStr">
        <is>
          <t>NanoRelease Weathering NRC Canada - SEM images of BASF samples</t>
        </is>
      </c>
      <c r="B35" s="3" t="inlineStr">
        <is>
          <t>mdr_item_1459</t>
        </is>
      </c>
      <c r="C35" s="3" t="inlineStr">
        <is>
          <t>2018-11-15</t>
        </is>
      </c>
      <c r="D35" s="3" t="inlineStr"/>
      <c r="E35" s="3" t="inlineStr">
        <is>
          <t>NRC Canada</t>
        </is>
      </c>
    </row>
    <row r="36">
      <c r="A36" s="2" t="inlineStr">
        <is>
          <t>INFLUX Workshop</t>
        </is>
      </c>
      <c r="B36" s="3" t="inlineStr">
        <is>
          <t>mdr_item_1421</t>
        </is>
      </c>
      <c r="C36" s="3" t="inlineStr">
        <is>
          <t>2018-11-15</t>
        </is>
      </c>
      <c r="D36" s="3" t="inlineStr"/>
      <c r="E36" s="3" t="inlineStr">
        <is>
          <t>Penn State</t>
        </is>
      </c>
    </row>
    <row r="37">
      <c r="A37" s="2" t="inlineStr">
        <is>
          <t>The High Temperature Elastic Moduli of Aluminum</t>
        </is>
      </c>
      <c r="B37" s="3" t="inlineStr">
        <is>
          <t>mdr_item_196</t>
        </is>
      </c>
      <c r="C37" s="3" t="inlineStr">
        <is>
          <t>2018-11-15</t>
        </is>
      </c>
      <c r="D37" s="3" t="inlineStr"/>
      <c r="E37" s="3" t="inlineStr">
        <is>
          <t>Argonne Natinoal Labratory, Argonne, III, 60439, U.S.A.</t>
        </is>
      </c>
    </row>
    <row r="38">
      <c r="A38" s="2" t="inlineStr">
        <is>
          <t>Metastable Phases in an Al-Mg-Si Alloy Containing Copper</t>
        </is>
      </c>
      <c r="B38" s="3" t="inlineStr">
        <is>
          <t>mdr_item_644</t>
        </is>
      </c>
      <c r="C38" s="3" t="inlineStr">
        <is>
          <t>2018-11-15</t>
        </is>
      </c>
      <c r="D38" s="3" t="inlineStr"/>
      <c r="E38" s="3" t="inlineStr">
        <is>
          <t>Faculty of Engineering, Toyama University, Faculty of Engineering, Tokyo Institute of Technology, Research Institute of Technology, Toyama Prefectural University</t>
        </is>
      </c>
    </row>
    <row r="39">
      <c r="A39" s="2" t="inlineStr">
        <is>
          <t>Additional properties of Aluminum Alloy 6061</t>
        </is>
      </c>
      <c r="B39" s="3" t="inlineStr">
        <is>
          <t>mdr_item_641</t>
        </is>
      </c>
      <c r="C39" s="3" t="inlineStr">
        <is>
          <t>2018-11-15</t>
        </is>
      </c>
      <c r="D39" s="3" t="inlineStr"/>
      <c r="E39" s="3" t="inlineStr">
        <is>
          <t>Knovel/Elsevier</t>
        </is>
      </c>
    </row>
    <row r="40">
      <c r="A40" s="2" t="inlineStr">
        <is>
          <t>Au Replication data tensile deformation gold nanowire</t>
        </is>
      </c>
      <c r="B40" s="3" t="inlineStr">
        <is>
          <t>mdr_item_136</t>
        </is>
      </c>
      <c r="C40" s="3" t="inlineStr">
        <is>
          <t>2018-11-15</t>
        </is>
      </c>
      <c r="D40" s="3" t="inlineStr"/>
      <c r="E40" s="3" t="inlineStr">
        <is>
          <t>1) National Institute of Standards and Technology (NIST), Materials Measurement Laboratory, Materials Science and Engineering Division;   2) National Institute of Standards and Technology (NIST), Materials Measurement Laboratory, Materials Science and Engineering Division, Materials Performance Group;  3) National Institute of Standards and Technology (NIST), Physical Measurement Laboratory, Radiation and Biomolecular Physics Division, Biophysics Group</t>
        </is>
      </c>
    </row>
    <row r="41">
      <c r="A41" s="2" t="inlineStr">
        <is>
          <t>H-Ti Thermodynamic description</t>
        </is>
      </c>
      <c r="B41" s="3" t="inlineStr">
        <is>
          <t>mdr_item_533</t>
        </is>
      </c>
      <c r="C41" s="3" t="inlineStr">
        <is>
          <t>2018-11-15</t>
        </is>
      </c>
      <c r="D41" s="3" t="inlineStr"/>
      <c r="E41" s="3" t="inlineStr">
        <is>
          <t>Shanghai Key Laboratory of Modern Metallurgy &amp; Materials Processing, Shanghai University, Shanghai, China, Graduate University, Chinese Academy of Sciences, Beijing, China, Shanghai Institute of Microsystem and Information Technology, Chinese Academy of Sciences, Shanghai, China</t>
        </is>
      </c>
    </row>
    <row r="42">
      <c r="A42" s="2" t="inlineStr">
        <is>
          <t>Interdiffusion in the Mg-Al System and Intrinsic Diffusion in beta-Mg2Al3</t>
        </is>
      </c>
      <c r="B42" s="3" t="inlineStr">
        <is>
          <t>mdr_item_480</t>
        </is>
      </c>
      <c r="C42" s="3" t="inlineStr">
        <is>
          <t>2018-11-15</t>
        </is>
      </c>
      <c r="D42" s="3" t="inlineStr"/>
      <c r="E42" s="3" t="inlineStr">
        <is>
          <t>University of Central Florida, Orlando, FL, Oak Ridge National Laboratory, Oak Ridge, TN</t>
        </is>
      </c>
    </row>
    <row r="43">
      <c r="A43" s="2" t="inlineStr">
        <is>
          <t>Ag–Zn diffusional mobilities</t>
        </is>
      </c>
      <c r="B43" s="3" t="inlineStr">
        <is>
          <t>mdr_item_553</t>
        </is>
      </c>
      <c r="C43" s="3" t="inlineStr">
        <is>
          <t>2018-11-15</t>
        </is>
      </c>
      <c r="D43" s="3" t="inlineStr"/>
      <c r="E43" s="3" t="inlineStr">
        <is>
          <t>Department of Materials Science and Engineering, College of Materials, and Research Center of Materials Design and Application, Xiamen University, Xiamen China</t>
        </is>
      </c>
    </row>
    <row r="44">
      <c r="A44" s="2" t="inlineStr">
        <is>
          <t>C-Mn Thermodynamic assessment</t>
        </is>
      </c>
      <c r="B44" s="3" t="inlineStr">
        <is>
          <t>mdr_item_535</t>
        </is>
      </c>
      <c r="C44" s="3" t="inlineStr">
        <is>
          <t>2018-11-15</t>
        </is>
      </c>
      <c r="D44" s="3" t="inlineStr"/>
      <c r="E44" s="3" t="inlineStr">
        <is>
          <t>Institute of Inorganic Chemistry, RWTH Aachen University, Aachen, Germany, Materials Chemistry, RWTH Aachen University, Aachen, Germany</t>
        </is>
      </c>
    </row>
    <row r="45">
      <c r="A45" s="2" t="inlineStr">
        <is>
          <t>Si-Sr thermodynamic reassessment</t>
        </is>
      </c>
      <c r="B45" s="3" t="inlineStr">
        <is>
          <t>mdr_item_564</t>
        </is>
      </c>
      <c r="C45" s="3" t="inlineStr">
        <is>
          <t>2018-11-15</t>
        </is>
      </c>
      <c r="D45" s="3" t="inlineStr"/>
      <c r="E45" s="3" t="inlineStr">
        <is>
          <t>State Key Laboratory of Powder Metallurgy, Central South University, Changsha China</t>
        </is>
      </c>
    </row>
    <row r="46">
      <c r="A46" s="2" t="inlineStr">
        <is>
          <t>Al-Cr-Ni Thermodynamic Re-Assessment of the Ternary System</t>
        </is>
      </c>
      <c r="B46" s="3" t="inlineStr">
        <is>
          <t>mdr_item_520</t>
        </is>
      </c>
      <c r="C46" s="3" t="inlineStr">
        <is>
          <t>2018-09-17</t>
        </is>
      </c>
      <c r="D46" s="3" t="inlineStr"/>
      <c r="E46" s="3" t="inlineStr">
        <is>
          <t>1) Calcul Thermodynamique, 3, rue de l'avenir, 63670 Orcet, France; 
2) L.T.P.C.M., E.N.S.E.E.G., BP 75, 38402 St. St. Martin d'Hères, Franc; 
3) Department of Materials Science and Engineering, Royal Institute of Technology, Stockholm, Sweden</t>
        </is>
      </c>
    </row>
    <row r="47">
      <c r="A47" s="2" t="inlineStr">
        <is>
          <t>Cr Self-Diffusion Paxton Gondolf 1959</t>
        </is>
      </c>
      <c r="B47" s="3" t="inlineStr">
        <is>
          <t>mdr_item_489</t>
        </is>
      </c>
      <c r="C47" s="3" t="inlineStr">
        <is>
          <t>2018-11-15</t>
        </is>
      </c>
      <c r="D47" s="3" t="inlineStr"/>
      <c r="E47" s="3" t="inlineStr">
        <is>
          <t>Metals Research Laboratory at the Carnegie Institute of Technology</t>
        </is>
      </c>
    </row>
    <row r="48">
      <c r="A48" s="2" t="inlineStr">
        <is>
          <t>Cyclic Loading Testing</t>
        </is>
      </c>
      <c r="B48" s="3" t="inlineStr">
        <is>
          <t>mdr_item_1436</t>
        </is>
      </c>
      <c r="C48" s="3" t="inlineStr">
        <is>
          <t>2018-11-15</t>
        </is>
      </c>
      <c r="D48" s="3" t="inlineStr"/>
      <c r="E48" s="3" t="inlineStr"/>
    </row>
    <row r="49">
      <c r="A49" s="2" t="inlineStr">
        <is>
          <t>Evaluation and comparison of classical interatomic potentials through a user-fri</t>
        </is>
      </c>
      <c r="B49" s="3" t="inlineStr">
        <is>
          <t>cip</t>
        </is>
      </c>
      <c r="C49" s="3" t="inlineStr">
        <is>
          <t>2018-10-29</t>
        </is>
      </c>
      <c r="D49" s="3" t="inlineStr">
        <is>
          <t>http://dx.doi.org/10.1038/sdata.2016.125</t>
        </is>
      </c>
      <c r="E49" s="3" t="inlineStr">
        <is>
          <t>The Pennsylvania State University, National Institute of Standards and Technology, University of Florida</t>
        </is>
      </c>
    </row>
    <row r="50">
      <c r="A50" s="2" t="inlineStr">
        <is>
          <t>Tensile and Microindentation Stress-Strain Curves of Al-6061</t>
        </is>
      </c>
      <c r="B50" s="3" t="inlineStr">
        <is>
          <t>mdr_item_1061</t>
        </is>
      </c>
      <c r="C50" s="3" t="inlineStr">
        <is>
          <t>2018-11-15</t>
        </is>
      </c>
      <c r="D50" s="3" t="inlineStr"/>
      <c r="E50" s="3" t="inlineStr">
        <is>
          <t>Georgia Institute of Technology, Los Alamos National Laboratory</t>
        </is>
      </c>
    </row>
    <row r="51">
      <c r="A51" s="2" t="inlineStr">
        <is>
          <t>Interaction Between Oxygen Interstitials and Deformation Twins in alpha-Titanium</t>
        </is>
      </c>
      <c r="B51" s="3" t="inlineStr">
        <is>
          <t>mdr_item_571</t>
        </is>
      </c>
      <c r="C51" s="3" t="inlineStr">
        <is>
          <t>2018-11-15</t>
        </is>
      </c>
      <c r="D51" s="3" t="inlineStr"/>
      <c r="E51" s="3" t="inlineStr">
        <is>
          <t>University of Maryland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2026-04-02T18:11:21Z</dcterms:created>
  <dcterms:modified xsi:type="dcterms:W3CDTF">2026-04-02T18:11:21Z</dcterms:modified>
</cp:coreProperties>
</file>